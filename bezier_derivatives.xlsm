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044910/Documents/devel/vis/"/>
    </mc:Choice>
  </mc:AlternateContent>
  <xr:revisionPtr revIDLastSave="0" documentId="13_ncr:1_{999A3D7E-0BB7-5A44-B7AB-D7475D58A3C5}" xr6:coauthVersionLast="36" xr6:coauthVersionMax="36" xr10:uidLastSave="{00000000-0000-0000-0000-000000000000}"/>
  <bookViews>
    <workbookView xWindow="0" yWindow="1720" windowWidth="33000" windowHeight="18720" xr2:uid="{FC5B7D4B-3E74-AC4B-A077-C808FD46940A}"/>
  </bookViews>
  <sheets>
    <sheet name="Sheet1" sheetId="1" r:id="rId1"/>
    <sheet name="Chart1" sheetId="2" r:id="rId2"/>
  </sheets>
  <functionGroups builtInGroupCount="19"/>
  <definedNames>
    <definedName name="a">Sheet1!$N$1</definedName>
    <definedName name="b">Sheet1!$N$2</definedName>
    <definedName name="cc">Sheet1!$N$3</definedName>
    <definedName name="d">Sheet1!$E$1</definedName>
    <definedName name="p_0">Sheet1!$K$1</definedName>
    <definedName name="p_1">Sheet1!$K$2</definedName>
    <definedName name="p_2">Sheet1!$K$3</definedName>
    <definedName name="p_3">Sheet1!$K$4</definedName>
    <definedName name="p0">Sheet1!$K$1</definedName>
    <definedName name="x">Sheet1!$H$1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0" i="1" l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P301" i="1" s="1"/>
  <c r="N435" i="1"/>
  <c r="N427" i="1"/>
  <c r="N419" i="1"/>
  <c r="N411" i="1"/>
  <c r="N403" i="1"/>
  <c r="N395" i="1"/>
  <c r="N387" i="1"/>
  <c r="N379" i="1"/>
  <c r="N371" i="1"/>
  <c r="N363" i="1"/>
  <c r="N355" i="1"/>
  <c r="N347" i="1"/>
  <c r="N339" i="1"/>
  <c r="N331" i="1"/>
  <c r="N323" i="1"/>
  <c r="N315" i="1"/>
  <c r="N307" i="1"/>
  <c r="N396" i="1"/>
  <c r="N364" i="1"/>
  <c r="N308" i="1"/>
  <c r="N434" i="1"/>
  <c r="N426" i="1"/>
  <c r="N418" i="1"/>
  <c r="N410" i="1"/>
  <c r="N402" i="1"/>
  <c r="N394" i="1"/>
  <c r="N386" i="1"/>
  <c r="N378" i="1"/>
  <c r="N370" i="1"/>
  <c r="N362" i="1"/>
  <c r="N354" i="1"/>
  <c r="N346" i="1"/>
  <c r="N338" i="1"/>
  <c r="N330" i="1"/>
  <c r="N322" i="1"/>
  <c r="N314" i="1"/>
  <c r="N306" i="1"/>
  <c r="N417" i="1"/>
  <c r="N401" i="1"/>
  <c r="N385" i="1"/>
  <c r="N369" i="1"/>
  <c r="N353" i="1"/>
  <c r="N345" i="1"/>
  <c r="N329" i="1"/>
  <c r="N313" i="1"/>
  <c r="N352" i="1"/>
  <c r="N328" i="1"/>
  <c r="N304" i="1"/>
  <c r="N366" i="1"/>
  <c r="N326" i="1"/>
  <c r="N302" i="1"/>
  <c r="N405" i="1"/>
  <c r="N373" i="1"/>
  <c r="N317" i="1"/>
  <c r="N404" i="1"/>
  <c r="N356" i="1"/>
  <c r="N316" i="1"/>
  <c r="N433" i="1"/>
  <c r="N425" i="1"/>
  <c r="N409" i="1"/>
  <c r="N393" i="1"/>
  <c r="N377" i="1"/>
  <c r="N361" i="1"/>
  <c r="N337" i="1"/>
  <c r="N321" i="1"/>
  <c r="N305" i="1"/>
  <c r="N336" i="1"/>
  <c r="N312" i="1"/>
  <c r="N374" i="1"/>
  <c r="N342" i="1"/>
  <c r="N310" i="1"/>
  <c r="N413" i="1"/>
  <c r="N349" i="1"/>
  <c r="N324" i="1"/>
  <c r="N432" i="1"/>
  <c r="N424" i="1"/>
  <c r="N416" i="1"/>
  <c r="N408" i="1"/>
  <c r="N400" i="1"/>
  <c r="N392" i="1"/>
  <c r="N384" i="1"/>
  <c r="N376" i="1"/>
  <c r="N368" i="1"/>
  <c r="N360" i="1"/>
  <c r="N344" i="1"/>
  <c r="N320" i="1"/>
  <c r="N390" i="1"/>
  <c r="N334" i="1"/>
  <c r="N421" i="1"/>
  <c r="N389" i="1"/>
  <c r="N357" i="1"/>
  <c r="N333" i="1"/>
  <c r="N428" i="1"/>
  <c r="N388" i="1"/>
  <c r="N348" i="1"/>
  <c r="N431" i="1"/>
  <c r="N423" i="1"/>
  <c r="N415" i="1"/>
  <c r="N407" i="1"/>
  <c r="N399" i="1"/>
  <c r="N391" i="1"/>
  <c r="N383" i="1"/>
  <c r="N375" i="1"/>
  <c r="N367" i="1"/>
  <c r="N359" i="1"/>
  <c r="N351" i="1"/>
  <c r="N343" i="1"/>
  <c r="N335" i="1"/>
  <c r="N327" i="1"/>
  <c r="N319" i="1"/>
  <c r="N311" i="1"/>
  <c r="N303" i="1"/>
  <c r="N430" i="1"/>
  <c r="N422" i="1"/>
  <c r="N414" i="1"/>
  <c r="N406" i="1"/>
  <c r="N398" i="1"/>
  <c r="N358" i="1"/>
  <c r="N350" i="1"/>
  <c r="N318" i="1"/>
  <c r="N429" i="1"/>
  <c r="N381" i="1"/>
  <c r="N341" i="1"/>
  <c r="N309" i="1"/>
  <c r="N420" i="1"/>
  <c r="N380" i="1"/>
  <c r="N340" i="1"/>
  <c r="N382" i="1"/>
  <c r="N397" i="1"/>
  <c r="N365" i="1"/>
  <c r="N325" i="1"/>
  <c r="N412" i="1"/>
  <c r="N372" i="1"/>
  <c r="N332" i="1"/>
  <c r="Q301" i="1"/>
  <c r="Q293" i="1"/>
  <c r="Q285" i="1"/>
  <c r="Q277" i="1"/>
  <c r="Q269" i="1"/>
  <c r="Q261" i="1"/>
  <c r="Q253" i="1"/>
  <c r="Q245" i="1"/>
  <c r="Q237" i="1"/>
  <c r="Q229" i="1"/>
  <c r="Q221" i="1"/>
  <c r="Q213" i="1"/>
  <c r="Q205" i="1"/>
  <c r="Q197" i="1"/>
  <c r="Q189" i="1"/>
  <c r="Q181" i="1"/>
  <c r="Q173" i="1"/>
  <c r="Q165" i="1"/>
  <c r="Q157" i="1"/>
  <c r="Q149" i="1"/>
  <c r="Q141" i="1"/>
  <c r="Q133" i="1"/>
  <c r="Q125" i="1"/>
  <c r="Q117" i="1"/>
  <c r="Q109" i="1"/>
  <c r="Q101" i="1"/>
  <c r="Q93" i="1"/>
  <c r="Q85" i="1"/>
  <c r="Q77" i="1"/>
  <c r="Q69" i="1"/>
  <c r="Q61" i="1"/>
  <c r="Q53" i="1"/>
  <c r="Q45" i="1"/>
  <c r="Q37" i="1"/>
  <c r="Q29" i="1"/>
  <c r="Q21" i="1"/>
  <c r="Q13" i="1"/>
  <c r="Q91" i="1"/>
  <c r="Q67" i="1"/>
  <c r="Q51" i="1"/>
  <c r="Q27" i="1"/>
  <c r="Q66" i="1"/>
  <c r="Q42" i="1"/>
  <c r="Q10" i="1"/>
  <c r="Q73" i="1"/>
  <c r="Q17" i="1"/>
  <c r="Q56" i="1"/>
  <c r="Q16" i="1"/>
  <c r="Q279" i="1"/>
  <c r="Q215" i="1"/>
  <c r="Q167" i="1"/>
  <c r="Q119" i="1"/>
  <c r="Q71" i="1"/>
  <c r="Q31" i="1"/>
  <c r="Q278" i="1"/>
  <c r="Q230" i="1"/>
  <c r="Q198" i="1"/>
  <c r="Q158" i="1"/>
  <c r="Q110" i="1"/>
  <c r="Q54" i="1"/>
  <c r="Q300" i="1"/>
  <c r="Q292" i="1"/>
  <c r="Q284" i="1"/>
  <c r="Q276" i="1"/>
  <c r="Q268" i="1"/>
  <c r="Q260" i="1"/>
  <c r="Q252" i="1"/>
  <c r="Q244" i="1"/>
  <c r="Q236" i="1"/>
  <c r="Q228" i="1"/>
  <c r="Q220" i="1"/>
  <c r="Q212" i="1"/>
  <c r="Q204" i="1"/>
  <c r="Q196" i="1"/>
  <c r="Q188" i="1"/>
  <c r="Q180" i="1"/>
  <c r="Q172" i="1"/>
  <c r="Q164" i="1"/>
  <c r="Q156" i="1"/>
  <c r="Q148" i="1"/>
  <c r="Q140" i="1"/>
  <c r="Q132" i="1"/>
  <c r="Q124" i="1"/>
  <c r="Q116" i="1"/>
  <c r="Q108" i="1"/>
  <c r="Q100" i="1"/>
  <c r="Q92" i="1"/>
  <c r="Q84" i="1"/>
  <c r="Q76" i="1"/>
  <c r="Q68" i="1"/>
  <c r="Q60" i="1"/>
  <c r="Q52" i="1"/>
  <c r="Q44" i="1"/>
  <c r="Q36" i="1"/>
  <c r="Q28" i="1"/>
  <c r="Q20" i="1"/>
  <c r="Q12" i="1"/>
  <c r="Q99" i="1"/>
  <c r="Q75" i="1"/>
  <c r="Q43" i="1"/>
  <c r="Q19" i="1"/>
  <c r="Q74" i="1"/>
  <c r="Q34" i="1"/>
  <c r="Q97" i="1"/>
  <c r="Q49" i="1"/>
  <c r="Q207" i="1"/>
  <c r="Q135" i="1"/>
  <c r="Q87" i="1"/>
  <c r="Q39" i="1"/>
  <c r="Q262" i="1"/>
  <c r="Q238" i="1"/>
  <c r="Q190" i="1"/>
  <c r="Q150" i="1"/>
  <c r="Q102" i="1"/>
  <c r="Q62" i="1"/>
  <c r="Q22" i="1"/>
  <c r="Q299" i="1"/>
  <c r="Q291" i="1"/>
  <c r="Q283" i="1"/>
  <c r="Q275" i="1"/>
  <c r="Q267" i="1"/>
  <c r="Q259" i="1"/>
  <c r="Q251" i="1"/>
  <c r="Q243" i="1"/>
  <c r="Q235" i="1"/>
  <c r="Q227" i="1"/>
  <c r="Q219" i="1"/>
  <c r="Q211" i="1"/>
  <c r="Q203" i="1"/>
  <c r="Q195" i="1"/>
  <c r="Q187" i="1"/>
  <c r="Q179" i="1"/>
  <c r="Q171" i="1"/>
  <c r="Q163" i="1"/>
  <c r="Q155" i="1"/>
  <c r="Q147" i="1"/>
  <c r="Q139" i="1"/>
  <c r="Q131" i="1"/>
  <c r="Q123" i="1"/>
  <c r="Q115" i="1"/>
  <c r="Q107" i="1"/>
  <c r="Q83" i="1"/>
  <c r="Q59" i="1"/>
  <c r="Q35" i="1"/>
  <c r="Q11" i="1"/>
  <c r="Q50" i="1"/>
  <c r="Q18" i="1"/>
  <c r="Q81" i="1"/>
  <c r="Q41" i="1"/>
  <c r="Q72" i="1"/>
  <c r="Q295" i="1"/>
  <c r="Q231" i="1"/>
  <c r="Q183" i="1"/>
  <c r="Q151" i="1"/>
  <c r="Q103" i="1"/>
  <c r="Q63" i="1"/>
  <c r="Q15" i="1"/>
  <c r="Q270" i="1"/>
  <c r="Q254" i="1"/>
  <c r="Q214" i="1"/>
  <c r="Q182" i="1"/>
  <c r="Q126" i="1"/>
  <c r="Q94" i="1"/>
  <c r="Q38" i="1"/>
  <c r="Q14" i="1"/>
  <c r="Q298" i="1"/>
  <c r="Q290" i="1"/>
  <c r="Q282" i="1"/>
  <c r="Q274" i="1"/>
  <c r="Q266" i="1"/>
  <c r="Q258" i="1"/>
  <c r="Q250" i="1"/>
  <c r="Q242" i="1"/>
  <c r="Q234" i="1"/>
  <c r="Q226" i="1"/>
  <c r="Q218" i="1"/>
  <c r="Q210" i="1"/>
  <c r="Q202" i="1"/>
  <c r="Q194" i="1"/>
  <c r="Q186" i="1"/>
  <c r="Q178" i="1"/>
  <c r="Q170" i="1"/>
  <c r="Q162" i="1"/>
  <c r="Q154" i="1"/>
  <c r="Q146" i="1"/>
  <c r="Q138" i="1"/>
  <c r="Q130" i="1"/>
  <c r="Q122" i="1"/>
  <c r="Q114" i="1"/>
  <c r="Q106" i="1"/>
  <c r="Q98" i="1"/>
  <c r="Q90" i="1"/>
  <c r="Q82" i="1"/>
  <c r="Q58" i="1"/>
  <c r="Q26" i="1"/>
  <c r="Q65" i="1"/>
  <c r="Q25" i="1"/>
  <c r="Q48" i="1"/>
  <c r="Q24" i="1"/>
  <c r="Q263" i="1"/>
  <c r="Q239" i="1"/>
  <c r="Q191" i="1"/>
  <c r="Q143" i="1"/>
  <c r="Q95" i="1"/>
  <c r="Q47" i="1"/>
  <c r="Q286" i="1"/>
  <c r="Q222" i="1"/>
  <c r="Q166" i="1"/>
  <c r="Q118" i="1"/>
  <c r="Q70" i="1"/>
  <c r="Q297" i="1"/>
  <c r="Q289" i="1"/>
  <c r="Q281" i="1"/>
  <c r="Q273" i="1"/>
  <c r="Q265" i="1"/>
  <c r="Q257" i="1"/>
  <c r="Q249" i="1"/>
  <c r="Q241" i="1"/>
  <c r="Q233" i="1"/>
  <c r="Q225" i="1"/>
  <c r="Q217" i="1"/>
  <c r="Q209" i="1"/>
  <c r="Q201" i="1"/>
  <c r="Q193" i="1"/>
  <c r="Q185" i="1"/>
  <c r="Q177" i="1"/>
  <c r="Q169" i="1"/>
  <c r="Q161" i="1"/>
  <c r="Q153" i="1"/>
  <c r="Q145" i="1"/>
  <c r="Q137" i="1"/>
  <c r="Q129" i="1"/>
  <c r="Q121" i="1"/>
  <c r="Q113" i="1"/>
  <c r="Q105" i="1"/>
  <c r="Q89" i="1"/>
  <c r="Q57" i="1"/>
  <c r="Q33" i="1"/>
  <c r="Q64" i="1"/>
  <c r="Q32" i="1"/>
  <c r="Q271" i="1"/>
  <c r="Q247" i="1"/>
  <c r="Q199" i="1"/>
  <c r="Q159" i="1"/>
  <c r="Q127" i="1"/>
  <c r="Q79" i="1"/>
  <c r="Q23" i="1"/>
  <c r="Q294" i="1"/>
  <c r="Q246" i="1"/>
  <c r="Q206" i="1"/>
  <c r="Q174" i="1"/>
  <c r="Q134" i="1"/>
  <c r="Q86" i="1"/>
  <c r="Q46" i="1"/>
  <c r="Q296" i="1"/>
  <c r="Q288" i="1"/>
  <c r="Q280" i="1"/>
  <c r="Q272" i="1"/>
  <c r="Q264" i="1"/>
  <c r="Q256" i="1"/>
  <c r="Q248" i="1"/>
  <c r="Q240" i="1"/>
  <c r="Q232" i="1"/>
  <c r="Q224" i="1"/>
  <c r="Q216" i="1"/>
  <c r="Q208" i="1"/>
  <c r="Q200" i="1"/>
  <c r="Q192" i="1"/>
  <c r="Q184" i="1"/>
  <c r="Q176" i="1"/>
  <c r="Q168" i="1"/>
  <c r="Q160" i="1"/>
  <c r="Q152" i="1"/>
  <c r="Q144" i="1"/>
  <c r="Q136" i="1"/>
  <c r="Q128" i="1"/>
  <c r="Q120" i="1"/>
  <c r="Q112" i="1"/>
  <c r="Q104" i="1"/>
  <c r="Q96" i="1"/>
  <c r="Q88" i="1"/>
  <c r="Q80" i="1"/>
  <c r="Q40" i="1"/>
  <c r="Q287" i="1"/>
  <c r="Q255" i="1"/>
  <c r="Q223" i="1"/>
  <c r="Q175" i="1"/>
  <c r="Q111" i="1"/>
  <c r="Q55" i="1"/>
  <c r="Q142" i="1"/>
  <c r="Q78" i="1"/>
  <c r="Q30" i="1"/>
  <c r="Q9" i="1"/>
  <c r="N301" i="1"/>
  <c r="N293" i="1"/>
  <c r="N229" i="1"/>
  <c r="N165" i="1"/>
  <c r="N149" i="1"/>
  <c r="N205" i="1"/>
  <c r="N133" i="1"/>
  <c r="N125" i="1"/>
  <c r="N237" i="1"/>
  <c r="N173" i="1"/>
  <c r="N285" i="1"/>
  <c r="N221" i="1"/>
  <c r="N157" i="1"/>
  <c r="N213" i="1"/>
  <c r="N141" i="1"/>
  <c r="N197" i="1"/>
  <c r="N189" i="1"/>
  <c r="N181" i="1"/>
  <c r="N277" i="1"/>
  <c r="N269" i="1"/>
  <c r="N261" i="1"/>
  <c r="N253" i="1"/>
  <c r="N245" i="1"/>
  <c r="N117" i="1"/>
  <c r="N109" i="1"/>
  <c r="N45" i="1"/>
  <c r="N101" i="1"/>
  <c r="N37" i="1"/>
  <c r="N93" i="1"/>
  <c r="N69" i="1"/>
  <c r="N85" i="1"/>
  <c r="N77" i="1"/>
  <c r="N53" i="1"/>
  <c r="N61" i="1"/>
  <c r="N300" i="1"/>
  <c r="N236" i="1"/>
  <c r="N172" i="1"/>
  <c r="N292" i="1"/>
  <c r="N228" i="1"/>
  <c r="N164" i="1"/>
  <c r="N204" i="1"/>
  <c r="N132" i="1"/>
  <c r="N124" i="1"/>
  <c r="N284" i="1"/>
  <c r="N220" i="1"/>
  <c r="N156" i="1"/>
  <c r="N148" i="1"/>
  <c r="N196" i="1"/>
  <c r="N180" i="1"/>
  <c r="N276" i="1"/>
  <c r="N212" i="1"/>
  <c r="N140" i="1"/>
  <c r="N188" i="1"/>
  <c r="N268" i="1"/>
  <c r="N260" i="1"/>
  <c r="N252" i="1"/>
  <c r="N244" i="1"/>
  <c r="N116" i="1"/>
  <c r="N108" i="1"/>
  <c r="N44" i="1"/>
  <c r="N100" i="1"/>
  <c r="N52" i="1"/>
  <c r="N92" i="1"/>
  <c r="N68" i="1"/>
  <c r="N60" i="1"/>
  <c r="N84" i="1"/>
  <c r="N76" i="1"/>
  <c r="N299" i="1"/>
  <c r="N291" i="1"/>
  <c r="N227" i="1"/>
  <c r="N163" i="1"/>
  <c r="N203" i="1"/>
  <c r="N187" i="1"/>
  <c r="N235" i="1"/>
  <c r="N283" i="1"/>
  <c r="N219" i="1"/>
  <c r="N155" i="1"/>
  <c r="N211" i="1"/>
  <c r="N147" i="1"/>
  <c r="N139" i="1"/>
  <c r="N123" i="1"/>
  <c r="N171" i="1"/>
  <c r="N275" i="1"/>
  <c r="N267" i="1"/>
  <c r="N259" i="1"/>
  <c r="N195" i="1"/>
  <c r="N131" i="1"/>
  <c r="N179" i="1"/>
  <c r="N251" i="1"/>
  <c r="N243" i="1"/>
  <c r="N115" i="1"/>
  <c r="N51" i="1"/>
  <c r="N107" i="1"/>
  <c r="N43" i="1"/>
  <c r="N83" i="1"/>
  <c r="N75" i="1"/>
  <c r="N99" i="1"/>
  <c r="N59" i="1"/>
  <c r="N91" i="1"/>
  <c r="N67" i="1"/>
  <c r="N298" i="1"/>
  <c r="N234" i="1"/>
  <c r="N122" i="1"/>
  <c r="N186" i="1"/>
  <c r="N146" i="1"/>
  <c r="N290" i="1"/>
  <c r="N218" i="1"/>
  <c r="N210" i="1"/>
  <c r="N250" i="1"/>
  <c r="N282" i="1"/>
  <c r="N242" i="1"/>
  <c r="N274" i="1"/>
  <c r="N202" i="1"/>
  <c r="N194" i="1"/>
  <c r="N170" i="1"/>
  <c r="N266" i="1"/>
  <c r="N258" i="1"/>
  <c r="N106" i="1"/>
  <c r="N90" i="1"/>
  <c r="N50" i="1"/>
  <c r="N66" i="1"/>
  <c r="N257" i="1"/>
  <c r="N154" i="1"/>
  <c r="N130" i="1"/>
  <c r="N162" i="1"/>
  <c r="N233" i="1"/>
  <c r="N138" i="1"/>
  <c r="N289" i="1"/>
  <c r="N209" i="1"/>
  <c r="N185" i="1"/>
  <c r="N161" i="1"/>
  <c r="N226" i="1"/>
  <c r="N178" i="1"/>
  <c r="N98" i="1"/>
  <c r="N82" i="1"/>
  <c r="N74" i="1"/>
  <c r="N114" i="1"/>
  <c r="N58" i="1"/>
  <c r="N42" i="1"/>
  <c r="N281" i="1"/>
  <c r="N193" i="1"/>
  <c r="N232" i="1"/>
  <c r="N129" i="1"/>
  <c r="N201" i="1"/>
  <c r="N273" i="1"/>
  <c r="N177" i="1"/>
  <c r="N214" i="1"/>
  <c r="N296" i="1"/>
  <c r="N255" i="1"/>
  <c r="N265" i="1"/>
  <c r="N169" i="1"/>
  <c r="N191" i="1"/>
  <c r="N145" i="1"/>
  <c r="N278" i="1"/>
  <c r="N249" i="1"/>
  <c r="N153" i="1"/>
  <c r="N168" i="1"/>
  <c r="N150" i="1"/>
  <c r="N297" i="1"/>
  <c r="N241" i="1"/>
  <c r="N225" i="1"/>
  <c r="N217" i="1"/>
  <c r="N97" i="1"/>
  <c r="N81" i="1"/>
  <c r="N65" i="1"/>
  <c r="N113" i="1"/>
  <c r="N49" i="1"/>
  <c r="N208" i="1"/>
  <c r="N128" i="1"/>
  <c r="N167" i="1"/>
  <c r="N96" i="1"/>
  <c r="N64" i="1"/>
  <c r="N248" i="1"/>
  <c r="N207" i="1"/>
  <c r="N166" i="1"/>
  <c r="N127" i="1"/>
  <c r="N294" i="1"/>
  <c r="N95" i="1"/>
  <c r="N63" i="1"/>
  <c r="N247" i="1"/>
  <c r="N206" i="1"/>
  <c r="N160" i="1"/>
  <c r="N126" i="1"/>
  <c r="N288" i="1"/>
  <c r="N94" i="1"/>
  <c r="N62" i="1"/>
  <c r="N223" i="1"/>
  <c r="N182" i="1"/>
  <c r="N137" i="1"/>
  <c r="N287" i="1"/>
  <c r="N41" i="1"/>
  <c r="N73" i="1"/>
  <c r="N105" i="1"/>
  <c r="N286" i="1"/>
  <c r="N222" i="1"/>
  <c r="N176" i="1"/>
  <c r="N158" i="1"/>
  <c r="N88" i="1"/>
  <c r="N56" i="1"/>
  <c r="N120" i="1"/>
  <c r="N262" i="1"/>
  <c r="N198" i="1"/>
  <c r="N152" i="1"/>
  <c r="N239" i="1"/>
  <c r="N39" i="1"/>
  <c r="N119" i="1"/>
  <c r="N71" i="1"/>
  <c r="N256" i="1"/>
  <c r="N215" i="1"/>
  <c r="N134" i="1"/>
  <c r="N174" i="1"/>
  <c r="N38" i="1"/>
  <c r="N102" i="1"/>
  <c r="N70" i="1"/>
  <c r="N272" i="1"/>
  <c r="N254" i="1"/>
  <c r="N231" i="1"/>
  <c r="N295" i="1"/>
  <c r="N190" i="1"/>
  <c r="N144" i="1"/>
  <c r="N48" i="1"/>
  <c r="N112" i="1"/>
  <c r="N80" i="1"/>
  <c r="N230" i="1"/>
  <c r="N184" i="1"/>
  <c r="N143" i="1"/>
  <c r="N271" i="1"/>
  <c r="N47" i="1"/>
  <c r="N111" i="1"/>
  <c r="N79" i="1"/>
  <c r="N224" i="1"/>
  <c r="N183" i="1"/>
  <c r="N142" i="1"/>
  <c r="N270" i="1"/>
  <c r="N78" i="1"/>
  <c r="N46" i="1"/>
  <c r="N110" i="1"/>
  <c r="N246" i="1"/>
  <c r="N200" i="1"/>
  <c r="N159" i="1"/>
  <c r="N264" i="1"/>
  <c r="N57" i="1"/>
  <c r="N121" i="1"/>
  <c r="N89" i="1"/>
  <c r="N240" i="1"/>
  <c r="N263" i="1"/>
  <c r="N199" i="1"/>
  <c r="N136" i="1"/>
  <c r="N40" i="1"/>
  <c r="N104" i="1"/>
  <c r="N72" i="1"/>
  <c r="N175" i="1"/>
  <c r="N135" i="1"/>
  <c r="N280" i="1"/>
  <c r="N216" i="1"/>
  <c r="N55" i="1"/>
  <c r="N103" i="1"/>
  <c r="N87" i="1"/>
  <c r="K4" i="1" l="1"/>
  <c r="K3" i="1"/>
  <c r="K2" i="1"/>
  <c r="N3" i="1" s="1"/>
  <c r="N238" i="1"/>
  <c r="N192" i="1"/>
  <c r="N151" i="1"/>
  <c r="N279" i="1"/>
  <c r="N86" i="1"/>
  <c r="N54" i="1"/>
  <c r="N118" i="1"/>
  <c r="N13" i="1"/>
  <c r="N15" i="1"/>
  <c r="N33" i="1"/>
  <c r="N21" i="1"/>
  <c r="N35" i="1"/>
  <c r="N23" i="1"/>
  <c r="N17" i="1"/>
  <c r="N12" i="1"/>
  <c r="N30" i="1"/>
  <c r="N25" i="1"/>
  <c r="N18" i="1"/>
  <c r="N20" i="1"/>
  <c r="N26" i="1"/>
  <c r="N27" i="1"/>
  <c r="N28" i="1"/>
  <c r="N14" i="1"/>
  <c r="N16" i="1"/>
  <c r="N34" i="1"/>
  <c r="N32" i="1"/>
  <c r="N31" i="1"/>
  <c r="N36" i="1"/>
  <c r="N22" i="1"/>
  <c r="N24" i="1"/>
  <c r="N19" i="1"/>
  <c r="N29" i="1"/>
  <c r="N11" i="1"/>
  <c r="N10" i="1"/>
  <c r="N9" i="1"/>
  <c r="N4" i="1"/>
  <c r="B102" i="1"/>
  <c r="B94" i="1"/>
  <c r="B86" i="1"/>
  <c r="B78" i="1"/>
  <c r="B70" i="1"/>
  <c r="B62" i="1"/>
  <c r="B54" i="1"/>
  <c r="B46" i="1"/>
  <c r="B38" i="1"/>
  <c r="B30" i="1"/>
  <c r="B22" i="1"/>
  <c r="B14" i="1"/>
  <c r="B6" i="1"/>
  <c r="B4" i="1"/>
  <c r="B83" i="1"/>
  <c r="B59" i="1"/>
  <c r="B35" i="1"/>
  <c r="B19" i="1"/>
  <c r="B3" i="1"/>
  <c r="B90" i="1"/>
  <c r="B74" i="1"/>
  <c r="B58" i="1"/>
  <c r="B50" i="1"/>
  <c r="B34" i="1"/>
  <c r="B26" i="1"/>
  <c r="B10" i="1"/>
  <c r="B81" i="1"/>
  <c r="B65" i="1"/>
  <c r="B49" i="1"/>
  <c r="B25" i="1"/>
  <c r="B88" i="1"/>
  <c r="B64" i="1"/>
  <c r="B32" i="1"/>
  <c r="B95" i="1"/>
  <c r="B63" i="1"/>
  <c r="B23" i="1"/>
  <c r="B101" i="1"/>
  <c r="B93" i="1"/>
  <c r="B85" i="1"/>
  <c r="B77" i="1"/>
  <c r="B69" i="1"/>
  <c r="B61" i="1"/>
  <c r="B53" i="1"/>
  <c r="B45" i="1"/>
  <c r="B37" i="1"/>
  <c r="B29" i="1"/>
  <c r="B21" i="1"/>
  <c r="B13" i="1"/>
  <c r="B5" i="1"/>
  <c r="B99" i="1"/>
  <c r="B75" i="1"/>
  <c r="B51" i="1"/>
  <c r="B27" i="1"/>
  <c r="B11" i="1"/>
  <c r="B98" i="1"/>
  <c r="B82" i="1"/>
  <c r="B66" i="1"/>
  <c r="B31" i="1"/>
  <c r="B100" i="1"/>
  <c r="B92" i="1"/>
  <c r="B84" i="1"/>
  <c r="B76" i="1"/>
  <c r="B68" i="1"/>
  <c r="B60" i="1"/>
  <c r="B52" i="1"/>
  <c r="B44" i="1"/>
  <c r="B36" i="1"/>
  <c r="B28" i="1"/>
  <c r="B20" i="1"/>
  <c r="B12" i="1"/>
  <c r="B91" i="1"/>
  <c r="B67" i="1"/>
  <c r="B43" i="1"/>
  <c r="B18" i="1"/>
  <c r="B96" i="1"/>
  <c r="B48" i="1"/>
  <c r="B16" i="1"/>
  <c r="B71" i="1"/>
  <c r="B47" i="1"/>
  <c r="B7" i="1"/>
  <c r="B42" i="1"/>
  <c r="B41" i="1"/>
  <c r="B17" i="1"/>
  <c r="B80" i="1"/>
  <c r="B40" i="1"/>
  <c r="B8" i="1"/>
  <c r="B79" i="1"/>
  <c r="B39" i="1"/>
  <c r="B97" i="1"/>
  <c r="B89" i="1"/>
  <c r="B73" i="1"/>
  <c r="B57" i="1"/>
  <c r="B33" i="1"/>
  <c r="B9" i="1"/>
  <c r="B72" i="1"/>
  <c r="B56" i="1"/>
  <c r="B24" i="1"/>
  <c r="B87" i="1"/>
  <c r="B55" i="1"/>
  <c r="B15" i="1"/>
  <c r="B2" i="1"/>
  <c r="C87" i="1" l="1"/>
  <c r="C31" i="1"/>
  <c r="C83" i="1"/>
  <c r="C23" i="1"/>
  <c r="C55" i="1"/>
  <c r="C71" i="1"/>
  <c r="C3" i="1"/>
  <c r="C35" i="1"/>
  <c r="C15" i="1"/>
  <c r="C47" i="1"/>
  <c r="C59" i="1"/>
  <c r="C75" i="1"/>
  <c r="C91" i="1"/>
  <c r="C67" i="1"/>
  <c r="C7" i="1"/>
  <c r="C39" i="1"/>
  <c r="C63" i="1"/>
  <c r="C79" i="1"/>
  <c r="C95" i="1"/>
  <c r="C11" i="1"/>
  <c r="C43" i="1"/>
  <c r="C27" i="1"/>
  <c r="C19" i="1"/>
  <c r="C51" i="1"/>
  <c r="C99" i="1"/>
  <c r="C12" i="1"/>
  <c r="C16" i="1"/>
  <c r="C20" i="1"/>
  <c r="C24" i="1"/>
  <c r="C28" i="1"/>
  <c r="C32" i="1"/>
  <c r="C36" i="1"/>
  <c r="C40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C100" i="1"/>
  <c r="C5" i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77" i="1"/>
  <c r="C81" i="1"/>
  <c r="C85" i="1"/>
  <c r="C89" i="1"/>
  <c r="C93" i="1"/>
  <c r="C97" i="1"/>
  <c r="C101" i="1"/>
  <c r="C8" i="1"/>
  <c r="C4" i="1"/>
  <c r="N1" i="1"/>
  <c r="C2" i="1"/>
  <c r="C6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N2" i="1"/>
</calcChain>
</file>

<file path=xl/sharedStrings.xml><?xml version="1.0" encoding="utf-8"?>
<sst xmlns="http://schemas.openxmlformats.org/spreadsheetml/2006/main" count="21" uniqueCount="18">
  <si>
    <t>t</t>
  </si>
  <si>
    <t>d</t>
  </si>
  <si>
    <t>x</t>
  </si>
  <si>
    <t>p0</t>
  </si>
  <si>
    <t>p1</t>
  </si>
  <si>
    <t>p2</t>
  </si>
  <si>
    <t>p3</t>
  </si>
  <si>
    <t>pos</t>
  </si>
  <si>
    <t>a</t>
  </si>
  <si>
    <t>b</t>
  </si>
  <si>
    <t>c</t>
  </si>
  <si>
    <t>deriivative</t>
  </si>
  <si>
    <t>x/d</t>
  </si>
  <si>
    <t>0.2979x + 0.1398</t>
  </si>
  <si>
    <t>x&gt;=1</t>
  </si>
  <si>
    <t>x &lt;=0.5</t>
  </si>
  <si>
    <t>0.0686x + 0.4438</t>
  </si>
  <si>
    <t>extension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</si>
</sst>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6.8640455779205092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Sheet1!$B$2:$B$102</c:f>
              <c:numCache>
                <c:formatCode>General</c:formatCode>
                <c:ptCount val="101"/>
                <c:pt idx="0">
                  <c:v>0</c:v>
                </c:pt>
                <c:pt idx="1">
                  <c:v>5.851E-2</c:v>
                </c:pt>
                <c:pt idx="2">
                  <c:v>0.11407999999999999</c:v>
                </c:pt>
                <c:pt idx="3">
                  <c:v>0.16677</c:v>
                </c:pt>
                <c:pt idx="4">
                  <c:v>0.21664</c:v>
                </c:pt>
                <c:pt idx="5">
                  <c:v>0.26374999999999998</c:v>
                </c:pt>
                <c:pt idx="6">
                  <c:v>0.30815999999999999</c:v>
                </c:pt>
                <c:pt idx="7">
                  <c:v>0.34993000000000002</c:v>
                </c:pt>
                <c:pt idx="8">
                  <c:v>0.38912000000000002</c:v>
                </c:pt>
                <c:pt idx="9">
                  <c:v>0.42579</c:v>
                </c:pt>
                <c:pt idx="10">
                  <c:v>0.46</c:v>
                </c:pt>
                <c:pt idx="11">
                  <c:v>0.49181000000000002</c:v>
                </c:pt>
                <c:pt idx="12">
                  <c:v>0.52127999999999985</c:v>
                </c:pt>
                <c:pt idx="13">
                  <c:v>0.54847000000000001</c:v>
                </c:pt>
                <c:pt idx="14">
                  <c:v>0.57343999999999995</c:v>
                </c:pt>
                <c:pt idx="15">
                  <c:v>0.59625000000000006</c:v>
                </c:pt>
                <c:pt idx="16">
                  <c:v>0.61695999999999995</c:v>
                </c:pt>
                <c:pt idx="17">
                  <c:v>0.63562999999999992</c:v>
                </c:pt>
                <c:pt idx="18">
                  <c:v>0.65232000000000001</c:v>
                </c:pt>
                <c:pt idx="19">
                  <c:v>0.66709000000000007</c:v>
                </c:pt>
                <c:pt idx="20">
                  <c:v>0.68000000000000016</c:v>
                </c:pt>
                <c:pt idx="21">
                  <c:v>0.69111</c:v>
                </c:pt>
                <c:pt idx="22">
                  <c:v>0.70047999999999999</c:v>
                </c:pt>
                <c:pt idx="23">
                  <c:v>0.70817000000000019</c:v>
                </c:pt>
                <c:pt idx="24">
                  <c:v>0.71423999999999999</c:v>
                </c:pt>
                <c:pt idx="25">
                  <c:v>0.71875</c:v>
                </c:pt>
                <c:pt idx="26">
                  <c:v>0.72175999999999996</c:v>
                </c:pt>
                <c:pt idx="27">
                  <c:v>0.72333000000000003</c:v>
                </c:pt>
                <c:pt idx="28">
                  <c:v>0.72352000000000005</c:v>
                </c:pt>
                <c:pt idx="29">
                  <c:v>0.72238999999999975</c:v>
                </c:pt>
                <c:pt idx="30">
                  <c:v>0.71999999999999986</c:v>
                </c:pt>
                <c:pt idx="31">
                  <c:v>0.71640999999999988</c:v>
                </c:pt>
                <c:pt idx="32">
                  <c:v>0.71167999999999998</c:v>
                </c:pt>
                <c:pt idx="33">
                  <c:v>0.70586999999999989</c:v>
                </c:pt>
                <c:pt idx="34">
                  <c:v>0.69903999999999988</c:v>
                </c:pt>
                <c:pt idx="35">
                  <c:v>0.69125000000000003</c:v>
                </c:pt>
                <c:pt idx="36">
                  <c:v>0.68255999999999994</c:v>
                </c:pt>
                <c:pt idx="37">
                  <c:v>0.67303000000000002</c:v>
                </c:pt>
                <c:pt idx="38">
                  <c:v>0.66271999999999998</c:v>
                </c:pt>
                <c:pt idx="39">
                  <c:v>0.6516900000000001</c:v>
                </c:pt>
                <c:pt idx="40">
                  <c:v>0.6399999999999999</c:v>
                </c:pt>
                <c:pt idx="41">
                  <c:v>0.62771000000000021</c:v>
                </c:pt>
                <c:pt idx="42">
                  <c:v>0.61488000000000009</c:v>
                </c:pt>
                <c:pt idx="43">
                  <c:v>0.60157000000000016</c:v>
                </c:pt>
                <c:pt idx="44">
                  <c:v>0.58784000000000025</c:v>
                </c:pt>
                <c:pt idx="45">
                  <c:v>0.5737500000000002</c:v>
                </c:pt>
                <c:pt idx="46">
                  <c:v>0.55936000000000019</c:v>
                </c:pt>
                <c:pt idx="47">
                  <c:v>0.54473000000000005</c:v>
                </c:pt>
                <c:pt idx="48">
                  <c:v>0.52991999999999995</c:v>
                </c:pt>
                <c:pt idx="49">
                  <c:v>0.51498999999999995</c:v>
                </c:pt>
                <c:pt idx="50">
                  <c:v>0.5</c:v>
                </c:pt>
                <c:pt idx="51">
                  <c:v>0.48500999999999994</c:v>
                </c:pt>
                <c:pt idx="52">
                  <c:v>0.47007999999999994</c:v>
                </c:pt>
                <c:pt idx="53">
                  <c:v>0.45527000000000006</c:v>
                </c:pt>
                <c:pt idx="54">
                  <c:v>0.44064000000000003</c:v>
                </c:pt>
                <c:pt idx="55">
                  <c:v>0.42625000000000007</c:v>
                </c:pt>
                <c:pt idx="56">
                  <c:v>0.41215999999999997</c:v>
                </c:pt>
                <c:pt idx="57">
                  <c:v>0.39843000000000017</c:v>
                </c:pt>
                <c:pt idx="58">
                  <c:v>0.38512000000000002</c:v>
                </c:pt>
                <c:pt idx="59">
                  <c:v>0.37229000000000018</c:v>
                </c:pt>
                <c:pt idx="60">
                  <c:v>0.36</c:v>
                </c:pt>
                <c:pt idx="61">
                  <c:v>0.34831000000000006</c:v>
                </c:pt>
                <c:pt idx="62">
                  <c:v>0.33727999999999991</c:v>
                </c:pt>
                <c:pt idx="63">
                  <c:v>0.32697000000000004</c:v>
                </c:pt>
                <c:pt idx="64">
                  <c:v>0.31744000000000006</c:v>
                </c:pt>
                <c:pt idx="65">
                  <c:v>0.30875000000000008</c:v>
                </c:pt>
                <c:pt idx="66">
                  <c:v>0.30096000000000001</c:v>
                </c:pt>
                <c:pt idx="67">
                  <c:v>0.29413</c:v>
                </c:pt>
                <c:pt idx="68">
                  <c:v>0.28832000000000008</c:v>
                </c:pt>
                <c:pt idx="69">
                  <c:v>0.28359000000000006</c:v>
                </c:pt>
                <c:pt idx="70">
                  <c:v>0.28000000000000003</c:v>
                </c:pt>
                <c:pt idx="71">
                  <c:v>0.27761000000000008</c:v>
                </c:pt>
                <c:pt idx="72">
                  <c:v>0.27648</c:v>
                </c:pt>
                <c:pt idx="73">
                  <c:v>0.27666999999999997</c:v>
                </c:pt>
                <c:pt idx="74">
                  <c:v>0.27823999999999999</c:v>
                </c:pt>
                <c:pt idx="75">
                  <c:v>0.28125</c:v>
                </c:pt>
                <c:pt idx="76">
                  <c:v>0.28576000000000001</c:v>
                </c:pt>
                <c:pt idx="77">
                  <c:v>0.29183000000000003</c:v>
                </c:pt>
                <c:pt idx="78">
                  <c:v>0.29952000000000001</c:v>
                </c:pt>
                <c:pt idx="79">
                  <c:v>0.30889000000000011</c:v>
                </c:pt>
                <c:pt idx="80">
                  <c:v>0.32000000000000006</c:v>
                </c:pt>
                <c:pt idx="81">
                  <c:v>0.33291000000000015</c:v>
                </c:pt>
                <c:pt idx="82">
                  <c:v>0.34767999999999988</c:v>
                </c:pt>
                <c:pt idx="83">
                  <c:v>0.36436999999999997</c:v>
                </c:pt>
                <c:pt idx="84">
                  <c:v>0.38303999999999994</c:v>
                </c:pt>
                <c:pt idx="85">
                  <c:v>0.40374999999999989</c:v>
                </c:pt>
                <c:pt idx="86">
                  <c:v>0.42655999999999994</c:v>
                </c:pt>
                <c:pt idx="87">
                  <c:v>0.4515300000000001</c:v>
                </c:pt>
                <c:pt idx="88">
                  <c:v>0.47871999999999998</c:v>
                </c:pt>
                <c:pt idx="89">
                  <c:v>0.50819000000000014</c:v>
                </c:pt>
                <c:pt idx="90">
                  <c:v>0.54</c:v>
                </c:pt>
                <c:pt idx="91">
                  <c:v>0.57421000000000011</c:v>
                </c:pt>
                <c:pt idx="92">
                  <c:v>0.61088000000000009</c:v>
                </c:pt>
                <c:pt idx="93">
                  <c:v>0.65007000000000015</c:v>
                </c:pt>
                <c:pt idx="94">
                  <c:v>0.69183999999999979</c:v>
                </c:pt>
                <c:pt idx="95">
                  <c:v>0.73624999999999985</c:v>
                </c:pt>
                <c:pt idx="96">
                  <c:v>0.78335999999999983</c:v>
                </c:pt>
                <c:pt idx="97">
                  <c:v>0.83322999999999992</c:v>
                </c:pt>
                <c:pt idx="98">
                  <c:v>0.88591999999999982</c:v>
                </c:pt>
                <c:pt idx="99">
                  <c:v>0.94148999999999994</c:v>
                </c:pt>
                <c:pt idx="10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48-8347-8D35-F3A90FF92A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Sheet1!$C$2:$C$102</c:f>
              <c:numCache>
                <c:formatCode>General</c:formatCode>
                <c:ptCount val="101"/>
                <c:pt idx="0">
                  <c:v>6</c:v>
                </c:pt>
                <c:pt idx="1">
                  <c:v>5.7029999999999994</c:v>
                </c:pt>
                <c:pt idx="2">
                  <c:v>5.411999999999999</c:v>
                </c:pt>
                <c:pt idx="3">
                  <c:v>5.1270000000000007</c:v>
                </c:pt>
                <c:pt idx="4">
                  <c:v>4.847999999999999</c:v>
                </c:pt>
                <c:pt idx="5">
                  <c:v>4.5749999999999984</c:v>
                </c:pt>
                <c:pt idx="6">
                  <c:v>4.3079999999999998</c:v>
                </c:pt>
                <c:pt idx="7">
                  <c:v>4.0469999999999997</c:v>
                </c:pt>
                <c:pt idx="8">
                  <c:v>3.7920000000000003</c:v>
                </c:pt>
                <c:pt idx="9">
                  <c:v>3.5430000000000006</c:v>
                </c:pt>
                <c:pt idx="10">
                  <c:v>3.3000000000000003</c:v>
                </c:pt>
                <c:pt idx="11">
                  <c:v>3.0630000000000002</c:v>
                </c:pt>
                <c:pt idx="12">
                  <c:v>2.8319999999999994</c:v>
                </c:pt>
                <c:pt idx="13">
                  <c:v>2.6069999999999993</c:v>
                </c:pt>
                <c:pt idx="14">
                  <c:v>2.3879999999999995</c:v>
                </c:pt>
                <c:pt idx="15">
                  <c:v>2.1749999999999998</c:v>
                </c:pt>
                <c:pt idx="16">
                  <c:v>1.968</c:v>
                </c:pt>
                <c:pt idx="17">
                  <c:v>1.766999999999999</c:v>
                </c:pt>
                <c:pt idx="18">
                  <c:v>1.572000000000001</c:v>
                </c:pt>
                <c:pt idx="19">
                  <c:v>1.383</c:v>
                </c:pt>
                <c:pt idx="20">
                  <c:v>1.2</c:v>
                </c:pt>
                <c:pt idx="21">
                  <c:v>1.0229999999999999</c:v>
                </c:pt>
                <c:pt idx="22">
                  <c:v>0.85200000000000031</c:v>
                </c:pt>
                <c:pt idx="23">
                  <c:v>0.68700000000000017</c:v>
                </c:pt>
                <c:pt idx="24">
                  <c:v>0.52800000000000025</c:v>
                </c:pt>
                <c:pt idx="25">
                  <c:v>0.375</c:v>
                </c:pt>
                <c:pt idx="26">
                  <c:v>0.22800000000000004</c:v>
                </c:pt>
                <c:pt idx="27">
                  <c:v>8.6999999999999578E-2</c:v>
                </c:pt>
                <c:pt idx="28">
                  <c:v>-4.8000000000000542E-2</c:v>
                </c:pt>
                <c:pt idx="29">
                  <c:v>-0.17700000000000005</c:v>
                </c:pt>
                <c:pt idx="30">
                  <c:v>-0.29999999999999993</c:v>
                </c:pt>
                <c:pt idx="31">
                  <c:v>-0.41700000000000026</c:v>
                </c:pt>
                <c:pt idx="32">
                  <c:v>-0.52800000000000036</c:v>
                </c:pt>
                <c:pt idx="33">
                  <c:v>-0.63300000000000045</c:v>
                </c:pt>
                <c:pt idx="34">
                  <c:v>-0.73200000000000054</c:v>
                </c:pt>
                <c:pt idx="35">
                  <c:v>-0.82499999999999973</c:v>
                </c:pt>
                <c:pt idx="36">
                  <c:v>-0.91199999999999992</c:v>
                </c:pt>
                <c:pt idx="37">
                  <c:v>-0.9930000000000001</c:v>
                </c:pt>
                <c:pt idx="38">
                  <c:v>-1.0680000000000001</c:v>
                </c:pt>
                <c:pt idx="39">
                  <c:v>-1.1369999999999996</c:v>
                </c:pt>
                <c:pt idx="40">
                  <c:v>-1.2000000000000004</c:v>
                </c:pt>
                <c:pt idx="41">
                  <c:v>-1.2570000000000001</c:v>
                </c:pt>
                <c:pt idx="42">
                  <c:v>-1.3079999999999996</c:v>
                </c:pt>
                <c:pt idx="43">
                  <c:v>-1.3529999999999998</c:v>
                </c:pt>
                <c:pt idx="44">
                  <c:v>-1.3919999999999995</c:v>
                </c:pt>
                <c:pt idx="45">
                  <c:v>-1.4249999999999996</c:v>
                </c:pt>
                <c:pt idx="46">
                  <c:v>-1.4520000000000004</c:v>
                </c:pt>
                <c:pt idx="47">
                  <c:v>-1.4729999999999992</c:v>
                </c:pt>
                <c:pt idx="48">
                  <c:v>-1.4880000000000002</c:v>
                </c:pt>
                <c:pt idx="49">
                  <c:v>-1.4970000000000008</c:v>
                </c:pt>
                <c:pt idx="50">
                  <c:v>-1.5</c:v>
                </c:pt>
                <c:pt idx="51">
                  <c:v>-1.4970000000000008</c:v>
                </c:pt>
                <c:pt idx="52">
                  <c:v>-1.4880000000000002</c:v>
                </c:pt>
                <c:pt idx="53">
                  <c:v>-1.4729999999999992</c:v>
                </c:pt>
                <c:pt idx="54">
                  <c:v>-1.4519999999999997</c:v>
                </c:pt>
                <c:pt idx="55">
                  <c:v>-1.4249999999999998</c:v>
                </c:pt>
                <c:pt idx="56">
                  <c:v>-1.3919999999999997</c:v>
                </c:pt>
                <c:pt idx="57">
                  <c:v>-1.3529999999999998</c:v>
                </c:pt>
                <c:pt idx="58">
                  <c:v>-1.3080000000000003</c:v>
                </c:pt>
                <c:pt idx="59">
                  <c:v>-1.2569999999999992</c:v>
                </c:pt>
                <c:pt idx="60">
                  <c:v>-1.2000000000000006</c:v>
                </c:pt>
                <c:pt idx="61">
                  <c:v>-1.1369999999999996</c:v>
                </c:pt>
                <c:pt idx="62">
                  <c:v>-1.0680000000000001</c:v>
                </c:pt>
                <c:pt idx="63">
                  <c:v>-0.99299999999999944</c:v>
                </c:pt>
                <c:pt idx="64">
                  <c:v>-0.91199999999999992</c:v>
                </c:pt>
                <c:pt idx="65">
                  <c:v>-0.82499999999999885</c:v>
                </c:pt>
                <c:pt idx="66">
                  <c:v>-0.73200000000000021</c:v>
                </c:pt>
                <c:pt idx="67">
                  <c:v>-0.63299999999999956</c:v>
                </c:pt>
                <c:pt idx="68">
                  <c:v>-0.52799999999999914</c:v>
                </c:pt>
                <c:pt idx="69">
                  <c:v>-0.4170000000000007</c:v>
                </c:pt>
                <c:pt idx="70">
                  <c:v>-0.30000000000000071</c:v>
                </c:pt>
                <c:pt idx="71">
                  <c:v>-0.17700000000000049</c:v>
                </c:pt>
                <c:pt idx="72">
                  <c:v>-4.7999999999999599E-2</c:v>
                </c:pt>
                <c:pt idx="73">
                  <c:v>8.6999999999999744E-2</c:v>
                </c:pt>
                <c:pt idx="74">
                  <c:v>0.22799999999999931</c:v>
                </c:pt>
                <c:pt idx="75">
                  <c:v>0.375</c:v>
                </c:pt>
                <c:pt idx="76">
                  <c:v>0.52800000000000047</c:v>
                </c:pt>
                <c:pt idx="77">
                  <c:v>0.68700000000000028</c:v>
                </c:pt>
                <c:pt idx="78">
                  <c:v>0.85200000000000031</c:v>
                </c:pt>
                <c:pt idx="79">
                  <c:v>1.0230000000000006</c:v>
                </c:pt>
                <c:pt idx="80">
                  <c:v>1.2000000000000011</c:v>
                </c:pt>
                <c:pt idx="81">
                  <c:v>1.3830000000000009</c:v>
                </c:pt>
                <c:pt idx="82">
                  <c:v>1.5719999999999992</c:v>
                </c:pt>
                <c:pt idx="83">
                  <c:v>1.7669999999999986</c:v>
                </c:pt>
                <c:pt idx="84">
                  <c:v>1.9679999999999995</c:v>
                </c:pt>
                <c:pt idx="85">
                  <c:v>2.1749999999999998</c:v>
                </c:pt>
                <c:pt idx="86">
                  <c:v>2.3879999999999995</c:v>
                </c:pt>
                <c:pt idx="87">
                  <c:v>2.6069999999999993</c:v>
                </c:pt>
                <c:pt idx="88">
                  <c:v>2.8319999999999999</c:v>
                </c:pt>
                <c:pt idx="89">
                  <c:v>3.0630000000000006</c:v>
                </c:pt>
                <c:pt idx="90">
                  <c:v>3.3000000000000007</c:v>
                </c:pt>
                <c:pt idx="91">
                  <c:v>3.543000000000001</c:v>
                </c:pt>
                <c:pt idx="92">
                  <c:v>3.7920000000000007</c:v>
                </c:pt>
                <c:pt idx="93">
                  <c:v>4.0470000000000006</c:v>
                </c:pt>
                <c:pt idx="94">
                  <c:v>4.3079999999999989</c:v>
                </c:pt>
                <c:pt idx="95">
                  <c:v>4.5749999999999984</c:v>
                </c:pt>
                <c:pt idx="96">
                  <c:v>4.847999999999999</c:v>
                </c:pt>
                <c:pt idx="97">
                  <c:v>5.1269999999999998</c:v>
                </c:pt>
                <c:pt idx="98">
                  <c:v>5.411999999999999</c:v>
                </c:pt>
                <c:pt idx="99">
                  <c:v>5.7029999999999994</c:v>
                </c:pt>
                <c:pt idx="10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48-8347-8D35-F3A90FF92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409280"/>
        <c:axId val="1278190656"/>
      </c:scatterChart>
      <c:valAx>
        <c:axId val="1277409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190656"/>
        <c:crosses val="autoZero"/>
        <c:crossBetween val="midCat"/>
      </c:valAx>
      <c:valAx>
        <c:axId val="127819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409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483818897637795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Sheet1!$M$9:$M$435</c:f>
              <c:numCache>
                <c:formatCode>General</c:formatCode>
                <c:ptCount val="427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-8.5000000000000107</c:v>
                </c:pt>
                <c:pt idx="16">
                  <c:v>-8.4000000000000092</c:v>
                </c:pt>
                <c:pt idx="17">
                  <c:v>-8.3000000000000096</c:v>
                </c:pt>
                <c:pt idx="18">
                  <c:v>-8.2000000000000099</c:v>
                </c:pt>
                <c:pt idx="19">
                  <c:v>-8.1000000000000103</c:v>
                </c:pt>
                <c:pt idx="20">
                  <c:v>-8.0000000000000107</c:v>
                </c:pt>
                <c:pt idx="21">
                  <c:v>-7.9000000000000101</c:v>
                </c:pt>
                <c:pt idx="22">
                  <c:v>-7.8000000000000096</c:v>
                </c:pt>
                <c:pt idx="23">
                  <c:v>-7.7000000000000099</c:v>
                </c:pt>
                <c:pt idx="24">
                  <c:v>-7.6000000000000103</c:v>
                </c:pt>
                <c:pt idx="25">
                  <c:v>-7.5000000000000098</c:v>
                </c:pt>
                <c:pt idx="26">
                  <c:v>-7.4000000000000101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-7.0000000000000098</c:v>
                </c:pt>
                <c:pt idx="31">
                  <c:v>-6.9000000000000101</c:v>
                </c:pt>
                <c:pt idx="32">
                  <c:v>-6.8000000000000096</c:v>
                </c:pt>
                <c:pt idx="33">
                  <c:v>-6.7000000000000099</c:v>
                </c:pt>
                <c:pt idx="34">
                  <c:v>-6.6000000000000103</c:v>
                </c:pt>
                <c:pt idx="35">
                  <c:v>-6.5000000000000098</c:v>
                </c:pt>
                <c:pt idx="36">
                  <c:v>-6.4000000000000101</c:v>
                </c:pt>
                <c:pt idx="37">
                  <c:v>-6.3000000000000096</c:v>
                </c:pt>
                <c:pt idx="38">
                  <c:v>-6.2000000000000099</c:v>
                </c:pt>
                <c:pt idx="39">
                  <c:v>-6.1000000000000103</c:v>
                </c:pt>
                <c:pt idx="40">
                  <c:v>-6.0000000000000098</c:v>
                </c:pt>
                <c:pt idx="41">
                  <c:v>-5.9000000000000101</c:v>
                </c:pt>
                <c:pt idx="42">
                  <c:v>-5.8000000000000096</c:v>
                </c:pt>
                <c:pt idx="43">
                  <c:v>-5.7000000000000197</c:v>
                </c:pt>
                <c:pt idx="44">
                  <c:v>-5.6000000000000201</c:v>
                </c:pt>
                <c:pt idx="45">
                  <c:v>-5.5000000000000204</c:v>
                </c:pt>
                <c:pt idx="46">
                  <c:v>-5.4000000000000199</c:v>
                </c:pt>
                <c:pt idx="47">
                  <c:v>-5.3000000000000203</c:v>
                </c:pt>
                <c:pt idx="48">
                  <c:v>-5.2000000000000197</c:v>
                </c:pt>
                <c:pt idx="49">
                  <c:v>-5.1000000000000201</c:v>
                </c:pt>
                <c:pt idx="50">
                  <c:v>-5.0000000000000204</c:v>
                </c:pt>
                <c:pt idx="51">
                  <c:v>-4.9000000000000199</c:v>
                </c:pt>
                <c:pt idx="52">
                  <c:v>-4.8000000000000203</c:v>
                </c:pt>
                <c:pt idx="53">
                  <c:v>-4.7000000000000197</c:v>
                </c:pt>
                <c:pt idx="54">
                  <c:v>-4.6000000000000201</c:v>
                </c:pt>
                <c:pt idx="55">
                  <c:v>-4.5000000000000204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-4.2000000000000197</c:v>
                </c:pt>
                <c:pt idx="59">
                  <c:v>-4.1000000000000201</c:v>
                </c:pt>
                <c:pt idx="60">
                  <c:v>-4.0000000000000204</c:v>
                </c:pt>
                <c:pt idx="61">
                  <c:v>-3.9000000000000199</c:v>
                </c:pt>
                <c:pt idx="62">
                  <c:v>-3.8000000000000198</c:v>
                </c:pt>
                <c:pt idx="63">
                  <c:v>-3.7000000000000202</c:v>
                </c:pt>
                <c:pt idx="64">
                  <c:v>-3.6000000000000201</c:v>
                </c:pt>
                <c:pt idx="65">
                  <c:v>-3.50000000000002</c:v>
                </c:pt>
                <c:pt idx="66">
                  <c:v>-3.4000000000000199</c:v>
                </c:pt>
                <c:pt idx="67">
                  <c:v>-3.3000000000000198</c:v>
                </c:pt>
                <c:pt idx="68">
                  <c:v>-3.2000000000000202</c:v>
                </c:pt>
                <c:pt idx="69">
                  <c:v>-3.1000000000000201</c:v>
                </c:pt>
                <c:pt idx="70">
                  <c:v>-3.00000000000002</c:v>
                </c:pt>
                <c:pt idx="71">
                  <c:v>-2.9000000000000301</c:v>
                </c:pt>
                <c:pt idx="72">
                  <c:v>-2.80000000000003</c:v>
                </c:pt>
                <c:pt idx="73">
                  <c:v>-2.7000000000000299</c:v>
                </c:pt>
                <c:pt idx="74">
                  <c:v>-2.6000000000000298</c:v>
                </c:pt>
                <c:pt idx="75">
                  <c:v>-2.5000000000000302</c:v>
                </c:pt>
                <c:pt idx="76">
                  <c:v>-2.4000000000000301</c:v>
                </c:pt>
                <c:pt idx="77">
                  <c:v>-2.30000000000003</c:v>
                </c:pt>
                <c:pt idx="78">
                  <c:v>-2.2000000000000299</c:v>
                </c:pt>
                <c:pt idx="79">
                  <c:v>-2.1000000000000298</c:v>
                </c:pt>
                <c:pt idx="80">
                  <c:v>-2.0000000000000302</c:v>
                </c:pt>
                <c:pt idx="81">
                  <c:v>-1.9000000000000301</c:v>
                </c:pt>
                <c:pt idx="82">
                  <c:v>-1.80000000000003</c:v>
                </c:pt>
                <c:pt idx="83">
                  <c:v>-1.7000000000000299</c:v>
                </c:pt>
                <c:pt idx="84">
                  <c:v>-1.6000000000000301</c:v>
                </c:pt>
                <c:pt idx="85">
                  <c:v>-1.50000000000003</c:v>
                </c:pt>
                <c:pt idx="86">
                  <c:v>-1.4000000000000301</c:v>
                </c:pt>
                <c:pt idx="87">
                  <c:v>-1.30000000000003</c:v>
                </c:pt>
                <c:pt idx="88">
                  <c:v>-1.2000000000000299</c:v>
                </c:pt>
                <c:pt idx="89">
                  <c:v>-1.1000000000000301</c:v>
                </c:pt>
                <c:pt idx="90">
                  <c:v>-1.00000000000003</c:v>
                </c:pt>
                <c:pt idx="91">
                  <c:v>-0.900000000000031</c:v>
                </c:pt>
                <c:pt idx="92">
                  <c:v>-0.80000000000002902</c:v>
                </c:pt>
                <c:pt idx="93">
                  <c:v>-0.70000000000002904</c:v>
                </c:pt>
                <c:pt idx="94">
                  <c:v>-0.60000000000002995</c:v>
                </c:pt>
                <c:pt idx="95">
                  <c:v>-0.50000000000002998</c:v>
                </c:pt>
                <c:pt idx="96">
                  <c:v>-0.400000000000031</c:v>
                </c:pt>
                <c:pt idx="97">
                  <c:v>-0.30000000000002902</c:v>
                </c:pt>
                <c:pt idx="98">
                  <c:v>-0.20000000000002899</c:v>
                </c:pt>
                <c:pt idx="99">
                  <c:v>-0.100000000000041</c:v>
                </c:pt>
                <c:pt idx="100">
                  <c:v>0</c:v>
                </c:pt>
                <c:pt idx="101">
                  <c:v>9.9999999999999603E-2</c:v>
                </c:pt>
                <c:pt idx="102">
                  <c:v>0.19999999999999901</c:v>
                </c:pt>
                <c:pt idx="103">
                  <c:v>0.30000000000000099</c:v>
                </c:pt>
                <c:pt idx="104">
                  <c:v>0.4</c:v>
                </c:pt>
                <c:pt idx="105">
                  <c:v>0.5</c:v>
                </c:pt>
                <c:pt idx="106">
                  <c:v>0.6</c:v>
                </c:pt>
                <c:pt idx="107">
                  <c:v>0.69999999999999896</c:v>
                </c:pt>
                <c:pt idx="108">
                  <c:v>0.80000000000000104</c:v>
                </c:pt>
                <c:pt idx="109">
                  <c:v>0.9</c:v>
                </c:pt>
                <c:pt idx="110">
                  <c:v>1</c:v>
                </c:pt>
                <c:pt idx="111">
                  <c:v>1.1000000000000001</c:v>
                </c:pt>
                <c:pt idx="112">
                  <c:v>1.2</c:v>
                </c:pt>
                <c:pt idx="113">
                  <c:v>1.3</c:v>
                </c:pt>
                <c:pt idx="114">
                  <c:v>1.4</c:v>
                </c:pt>
                <c:pt idx="115">
                  <c:v>1.5</c:v>
                </c:pt>
                <c:pt idx="116">
                  <c:v>1.6</c:v>
                </c:pt>
                <c:pt idx="117">
                  <c:v>1.7</c:v>
                </c:pt>
                <c:pt idx="118">
                  <c:v>1.8</c:v>
                </c:pt>
                <c:pt idx="119">
                  <c:v>1.9</c:v>
                </c:pt>
                <c:pt idx="120">
                  <c:v>2</c:v>
                </c:pt>
                <c:pt idx="121">
                  <c:v>2.1</c:v>
                </c:pt>
                <c:pt idx="122">
                  <c:v>2.2000000000000002</c:v>
                </c:pt>
                <c:pt idx="123">
                  <c:v>2.2999999999999998</c:v>
                </c:pt>
                <c:pt idx="124">
                  <c:v>2.4</c:v>
                </c:pt>
                <c:pt idx="125">
                  <c:v>2.5</c:v>
                </c:pt>
                <c:pt idx="126">
                  <c:v>2.6</c:v>
                </c:pt>
                <c:pt idx="127">
                  <c:v>2.7</c:v>
                </c:pt>
                <c:pt idx="128">
                  <c:v>2.8</c:v>
                </c:pt>
                <c:pt idx="129">
                  <c:v>2.9</c:v>
                </c:pt>
                <c:pt idx="130">
                  <c:v>3</c:v>
                </c:pt>
                <c:pt idx="131">
                  <c:v>3.1</c:v>
                </c:pt>
                <c:pt idx="132">
                  <c:v>3.2</c:v>
                </c:pt>
                <c:pt idx="133">
                  <c:v>3.3</c:v>
                </c:pt>
                <c:pt idx="134">
                  <c:v>3.4</c:v>
                </c:pt>
                <c:pt idx="135">
                  <c:v>3.5</c:v>
                </c:pt>
                <c:pt idx="136">
                  <c:v>3.6</c:v>
                </c:pt>
                <c:pt idx="137">
                  <c:v>3.7</c:v>
                </c:pt>
                <c:pt idx="138">
                  <c:v>3.8</c:v>
                </c:pt>
                <c:pt idx="139">
                  <c:v>3.9</c:v>
                </c:pt>
                <c:pt idx="140">
                  <c:v>4</c:v>
                </c:pt>
                <c:pt idx="141">
                  <c:v>4.0999999999999002</c:v>
                </c:pt>
                <c:pt idx="142">
                  <c:v>4.1999999999998998</c:v>
                </c:pt>
                <c:pt idx="143">
                  <c:v>4.2999999999999003</c:v>
                </c:pt>
                <c:pt idx="144">
                  <c:v>4.3999999999999</c:v>
                </c:pt>
                <c:pt idx="145">
                  <c:v>4.4999999999998996</c:v>
                </c:pt>
                <c:pt idx="146">
                  <c:v>4.5999999999999002</c:v>
                </c:pt>
                <c:pt idx="147">
                  <c:v>4.6999999999998998</c:v>
                </c:pt>
                <c:pt idx="148">
                  <c:v>4.7999999999999003</c:v>
                </c:pt>
                <c:pt idx="149">
                  <c:v>4.8999999999999</c:v>
                </c:pt>
                <c:pt idx="150">
                  <c:v>4.9999999999998996</c:v>
                </c:pt>
                <c:pt idx="151">
                  <c:v>5.0999999999999002</c:v>
                </c:pt>
                <c:pt idx="152">
                  <c:v>5.1999999999998998</c:v>
                </c:pt>
                <c:pt idx="153">
                  <c:v>5.2999999999999003</c:v>
                </c:pt>
                <c:pt idx="154">
                  <c:v>5.3999999999999</c:v>
                </c:pt>
                <c:pt idx="155">
                  <c:v>5.4999999999998996</c:v>
                </c:pt>
                <c:pt idx="156">
                  <c:v>5.5999999999999002</c:v>
                </c:pt>
                <c:pt idx="157">
                  <c:v>5.6999999999998998</c:v>
                </c:pt>
                <c:pt idx="158">
                  <c:v>5.7999999999999003</c:v>
                </c:pt>
                <c:pt idx="159">
                  <c:v>5.8999999999999</c:v>
                </c:pt>
                <c:pt idx="160">
                  <c:v>5.9999999999998996</c:v>
                </c:pt>
                <c:pt idx="161">
                  <c:v>6.0999999999999002</c:v>
                </c:pt>
                <c:pt idx="162">
                  <c:v>6.1999999999998998</c:v>
                </c:pt>
                <c:pt idx="163">
                  <c:v>6.2999999999999003</c:v>
                </c:pt>
                <c:pt idx="164">
                  <c:v>6.3999999999999</c:v>
                </c:pt>
                <c:pt idx="165">
                  <c:v>6.4999999999998996</c:v>
                </c:pt>
                <c:pt idx="166">
                  <c:v>6.5999999999999002</c:v>
                </c:pt>
                <c:pt idx="167">
                  <c:v>6.6999999999998998</c:v>
                </c:pt>
                <c:pt idx="168">
                  <c:v>6.7999999999999003</c:v>
                </c:pt>
                <c:pt idx="169">
                  <c:v>6.8999999999999</c:v>
                </c:pt>
                <c:pt idx="170">
                  <c:v>6.9999999999998996</c:v>
                </c:pt>
                <c:pt idx="171">
                  <c:v>7.0999999999999002</c:v>
                </c:pt>
                <c:pt idx="172">
                  <c:v>7.1999999999998998</c:v>
                </c:pt>
                <c:pt idx="173">
                  <c:v>7.2999999999999003</c:v>
                </c:pt>
                <c:pt idx="174">
                  <c:v>7.3999999999999</c:v>
                </c:pt>
                <c:pt idx="175">
                  <c:v>7.4999999999998996</c:v>
                </c:pt>
                <c:pt idx="176">
                  <c:v>7.5999999999999002</c:v>
                </c:pt>
                <c:pt idx="177">
                  <c:v>7.6999999999998998</c:v>
                </c:pt>
                <c:pt idx="178">
                  <c:v>7.7999999999999003</c:v>
                </c:pt>
                <c:pt idx="179">
                  <c:v>7.8999999999999</c:v>
                </c:pt>
                <c:pt idx="180">
                  <c:v>7.9999999999998996</c:v>
                </c:pt>
                <c:pt idx="181">
                  <c:v>8.0999999999999002</c:v>
                </c:pt>
                <c:pt idx="182">
                  <c:v>8.1999999999998998</c:v>
                </c:pt>
                <c:pt idx="183">
                  <c:v>8.2999999999998995</c:v>
                </c:pt>
                <c:pt idx="184">
                  <c:v>8.3999999999999009</c:v>
                </c:pt>
                <c:pt idx="185">
                  <c:v>8.4999999999999005</c:v>
                </c:pt>
                <c:pt idx="186">
                  <c:v>8.5999999999999002</c:v>
                </c:pt>
                <c:pt idx="187">
                  <c:v>8.6999999999998998</c:v>
                </c:pt>
                <c:pt idx="188">
                  <c:v>8.7999999999998995</c:v>
                </c:pt>
                <c:pt idx="189">
                  <c:v>8.8999999999999009</c:v>
                </c:pt>
                <c:pt idx="190">
                  <c:v>8.9999999999999005</c:v>
                </c:pt>
                <c:pt idx="191">
                  <c:v>9.0999999999999002</c:v>
                </c:pt>
                <c:pt idx="192">
                  <c:v>9.1999999999998998</c:v>
                </c:pt>
                <c:pt idx="193">
                  <c:v>9.2999999999998995</c:v>
                </c:pt>
                <c:pt idx="194">
                  <c:v>9.3999999999999009</c:v>
                </c:pt>
                <c:pt idx="195">
                  <c:v>9.4999999999999005</c:v>
                </c:pt>
                <c:pt idx="196">
                  <c:v>9.5999999999999002</c:v>
                </c:pt>
                <c:pt idx="197">
                  <c:v>9.6999999999998998</c:v>
                </c:pt>
                <c:pt idx="198">
                  <c:v>9.7999999999998995</c:v>
                </c:pt>
                <c:pt idx="199">
                  <c:v>9.8999999999999009</c:v>
                </c:pt>
                <c:pt idx="200">
                  <c:v>9.9999999999999005</c:v>
                </c:pt>
                <c:pt idx="201">
                  <c:v>10.0999999999999</c:v>
                </c:pt>
                <c:pt idx="202">
                  <c:v>10.1999999999999</c:v>
                </c:pt>
                <c:pt idx="203">
                  <c:v>10.299999999999899</c:v>
                </c:pt>
                <c:pt idx="204">
                  <c:v>10.399999999999901</c:v>
                </c:pt>
                <c:pt idx="205">
                  <c:v>10.499999999999901</c:v>
                </c:pt>
                <c:pt idx="206">
                  <c:v>10.5999999999999</c:v>
                </c:pt>
                <c:pt idx="207">
                  <c:v>10.6999999999999</c:v>
                </c:pt>
                <c:pt idx="208">
                  <c:v>10.799999999999899</c:v>
                </c:pt>
                <c:pt idx="209">
                  <c:v>10.899999999999901</c:v>
                </c:pt>
                <c:pt idx="210">
                  <c:v>10.999999999999901</c:v>
                </c:pt>
                <c:pt idx="211">
                  <c:v>11.0999999999999</c:v>
                </c:pt>
                <c:pt idx="212">
                  <c:v>11.1999999999999</c:v>
                </c:pt>
                <c:pt idx="213">
                  <c:v>11.299999999999899</c:v>
                </c:pt>
                <c:pt idx="214">
                  <c:v>11.399999999999901</c:v>
                </c:pt>
                <c:pt idx="215">
                  <c:v>11.499999999999901</c:v>
                </c:pt>
                <c:pt idx="216">
                  <c:v>11.5999999999999</c:v>
                </c:pt>
                <c:pt idx="217">
                  <c:v>11.6999999999999</c:v>
                </c:pt>
                <c:pt idx="218">
                  <c:v>11.799999999999899</c:v>
                </c:pt>
                <c:pt idx="219">
                  <c:v>11.899999999999901</c:v>
                </c:pt>
                <c:pt idx="220">
                  <c:v>11.999999999999901</c:v>
                </c:pt>
                <c:pt idx="221">
                  <c:v>12.0999999999999</c:v>
                </c:pt>
                <c:pt idx="222">
                  <c:v>12.1999999999999</c:v>
                </c:pt>
                <c:pt idx="223">
                  <c:v>12.299999999999899</c:v>
                </c:pt>
                <c:pt idx="224">
                  <c:v>12.399999999999901</c:v>
                </c:pt>
                <c:pt idx="225">
                  <c:v>12.499999999999901</c:v>
                </c:pt>
                <c:pt idx="226">
                  <c:v>12.5999999999999</c:v>
                </c:pt>
                <c:pt idx="227">
                  <c:v>12.6999999999999</c:v>
                </c:pt>
                <c:pt idx="228">
                  <c:v>12.799999999999899</c:v>
                </c:pt>
                <c:pt idx="229">
                  <c:v>12.899999999999901</c:v>
                </c:pt>
                <c:pt idx="230">
                  <c:v>12.999999999999901</c:v>
                </c:pt>
                <c:pt idx="231">
                  <c:v>13.0999999999999</c:v>
                </c:pt>
                <c:pt idx="232">
                  <c:v>13.1999999999999</c:v>
                </c:pt>
                <c:pt idx="233">
                  <c:v>13.299999999999899</c:v>
                </c:pt>
                <c:pt idx="234">
                  <c:v>13.399999999999901</c:v>
                </c:pt>
                <c:pt idx="235">
                  <c:v>13.499999999999901</c:v>
                </c:pt>
                <c:pt idx="236">
                  <c:v>13.5999999999999</c:v>
                </c:pt>
                <c:pt idx="237">
                  <c:v>13.6999999999999</c:v>
                </c:pt>
                <c:pt idx="238">
                  <c:v>13.799999999999899</c:v>
                </c:pt>
                <c:pt idx="239">
                  <c:v>13.899999999999901</c:v>
                </c:pt>
                <c:pt idx="240">
                  <c:v>13.999999999999901</c:v>
                </c:pt>
                <c:pt idx="241">
                  <c:v>14.0999999999999</c:v>
                </c:pt>
                <c:pt idx="242">
                  <c:v>14.1999999999999</c:v>
                </c:pt>
                <c:pt idx="243">
                  <c:v>14.299999999999899</c:v>
                </c:pt>
                <c:pt idx="244">
                  <c:v>14.399999999999901</c:v>
                </c:pt>
                <c:pt idx="245">
                  <c:v>14.499999999999901</c:v>
                </c:pt>
                <c:pt idx="246">
                  <c:v>14.5999999999999</c:v>
                </c:pt>
                <c:pt idx="247">
                  <c:v>14.6999999999999</c:v>
                </c:pt>
                <c:pt idx="248">
                  <c:v>14.799999999999899</c:v>
                </c:pt>
                <c:pt idx="249">
                  <c:v>14.899999999999901</c:v>
                </c:pt>
                <c:pt idx="250">
                  <c:v>14.999999999999901</c:v>
                </c:pt>
                <c:pt idx="251">
                  <c:v>15.0999999999999</c:v>
                </c:pt>
                <c:pt idx="252">
                  <c:v>15.1999999999999</c:v>
                </c:pt>
                <c:pt idx="253">
                  <c:v>15.299999999999899</c:v>
                </c:pt>
                <c:pt idx="254">
                  <c:v>15.399999999999901</c:v>
                </c:pt>
                <c:pt idx="255">
                  <c:v>15.499999999999901</c:v>
                </c:pt>
                <c:pt idx="256">
                  <c:v>15.5999999999999</c:v>
                </c:pt>
                <c:pt idx="257">
                  <c:v>15.6999999999999</c:v>
                </c:pt>
                <c:pt idx="258">
                  <c:v>15.799999999999899</c:v>
                </c:pt>
                <c:pt idx="259">
                  <c:v>15.899999999999901</c:v>
                </c:pt>
                <c:pt idx="260">
                  <c:v>15.999999999999901</c:v>
                </c:pt>
                <c:pt idx="261">
                  <c:v>16.099999999999898</c:v>
                </c:pt>
                <c:pt idx="262">
                  <c:v>16.1999999999999</c:v>
                </c:pt>
                <c:pt idx="263">
                  <c:v>16.299999999999901</c:v>
                </c:pt>
                <c:pt idx="264">
                  <c:v>16.399999999999899</c:v>
                </c:pt>
                <c:pt idx="265">
                  <c:v>16.499999999999901</c:v>
                </c:pt>
                <c:pt idx="266">
                  <c:v>16.599999999999898</c:v>
                </c:pt>
                <c:pt idx="267">
                  <c:v>16.6999999999999</c:v>
                </c:pt>
                <c:pt idx="268">
                  <c:v>16.799999999999901</c:v>
                </c:pt>
                <c:pt idx="269">
                  <c:v>16.899999999999899</c:v>
                </c:pt>
                <c:pt idx="270">
                  <c:v>16.999999999999901</c:v>
                </c:pt>
                <c:pt idx="271">
                  <c:v>17.099999999999898</c:v>
                </c:pt>
                <c:pt idx="272">
                  <c:v>17.1999999999999</c:v>
                </c:pt>
                <c:pt idx="273">
                  <c:v>17.299999999999901</c:v>
                </c:pt>
                <c:pt idx="274">
                  <c:v>17.399999999999899</c:v>
                </c:pt>
                <c:pt idx="275">
                  <c:v>17.499999999999901</c:v>
                </c:pt>
                <c:pt idx="276">
                  <c:v>17.599999999999898</c:v>
                </c:pt>
                <c:pt idx="277">
                  <c:v>17.6999999999999</c:v>
                </c:pt>
                <c:pt idx="278">
                  <c:v>17.799999999999901</c:v>
                </c:pt>
                <c:pt idx="279">
                  <c:v>17.899999999999899</c:v>
                </c:pt>
                <c:pt idx="280">
                  <c:v>17.999999999999901</c:v>
                </c:pt>
                <c:pt idx="281">
                  <c:v>18.099999999999898</c:v>
                </c:pt>
                <c:pt idx="282">
                  <c:v>18.1999999999999</c:v>
                </c:pt>
                <c:pt idx="283">
                  <c:v>18.299999999999901</c:v>
                </c:pt>
                <c:pt idx="284">
                  <c:v>18.399999999999899</c:v>
                </c:pt>
                <c:pt idx="285">
                  <c:v>18.499999999999901</c:v>
                </c:pt>
                <c:pt idx="286">
                  <c:v>18.599999999999898</c:v>
                </c:pt>
                <c:pt idx="287">
                  <c:v>18.6999999999999</c:v>
                </c:pt>
                <c:pt idx="288">
                  <c:v>18.799999999999901</c:v>
                </c:pt>
                <c:pt idx="289">
                  <c:v>18.899999999999899</c:v>
                </c:pt>
                <c:pt idx="290">
                  <c:v>18.999999999999901</c:v>
                </c:pt>
                <c:pt idx="291">
                  <c:v>19.099999999999898</c:v>
                </c:pt>
                <c:pt idx="292">
                  <c:v>19.1999999999999</c:v>
                </c:pt>
                <c:pt idx="293">
                  <c:v>19.299999999999901</c:v>
                </c:pt>
                <c:pt idx="294">
                  <c:v>19.399999999999899</c:v>
                </c:pt>
                <c:pt idx="295">
                  <c:v>19.499999999999901</c:v>
                </c:pt>
                <c:pt idx="296">
                  <c:v>19.599999999999898</c:v>
                </c:pt>
                <c:pt idx="297">
                  <c:v>19.6999999999999</c:v>
                </c:pt>
                <c:pt idx="298">
                  <c:v>19.799999999999901</c:v>
                </c:pt>
                <c:pt idx="299">
                  <c:v>19.899999999999899</c:v>
                </c:pt>
                <c:pt idx="300">
                  <c:v>19.999999999999901</c:v>
                </c:pt>
                <c:pt idx="301">
                  <c:v>20.099999999999898</c:v>
                </c:pt>
                <c:pt idx="302">
                  <c:v>20.1999999999999</c:v>
                </c:pt>
                <c:pt idx="303">
                  <c:v>20.299999999999901</c:v>
                </c:pt>
                <c:pt idx="304">
                  <c:v>20.399999999999899</c:v>
                </c:pt>
                <c:pt idx="305">
                  <c:v>20.499999999999901</c:v>
                </c:pt>
                <c:pt idx="306">
                  <c:v>20.599999999999898</c:v>
                </c:pt>
                <c:pt idx="307">
                  <c:v>20.6999999999999</c:v>
                </c:pt>
                <c:pt idx="308">
                  <c:v>20.799999999999901</c:v>
                </c:pt>
                <c:pt idx="309">
                  <c:v>20.899999999999899</c:v>
                </c:pt>
                <c:pt idx="310">
                  <c:v>20.999999999999901</c:v>
                </c:pt>
                <c:pt idx="311">
                  <c:v>21.099999999999898</c:v>
                </c:pt>
                <c:pt idx="312">
                  <c:v>21.1999999999999</c:v>
                </c:pt>
                <c:pt idx="313">
                  <c:v>21.299999999999901</c:v>
                </c:pt>
                <c:pt idx="314">
                  <c:v>21.399999999999899</c:v>
                </c:pt>
                <c:pt idx="315">
                  <c:v>21.499999999999901</c:v>
                </c:pt>
                <c:pt idx="316">
                  <c:v>21.599999999999898</c:v>
                </c:pt>
                <c:pt idx="317">
                  <c:v>21.6999999999999</c:v>
                </c:pt>
                <c:pt idx="318">
                  <c:v>21.799999999999901</c:v>
                </c:pt>
                <c:pt idx="319">
                  <c:v>21.899999999999899</c:v>
                </c:pt>
                <c:pt idx="320">
                  <c:v>21.999999999999901</c:v>
                </c:pt>
                <c:pt idx="321">
                  <c:v>22.099999999999898</c:v>
                </c:pt>
                <c:pt idx="322">
                  <c:v>22.1999999999999</c:v>
                </c:pt>
                <c:pt idx="323">
                  <c:v>22.299999999999901</c:v>
                </c:pt>
                <c:pt idx="324">
                  <c:v>22.399999999999899</c:v>
                </c:pt>
                <c:pt idx="325">
                  <c:v>22.499999999999901</c:v>
                </c:pt>
                <c:pt idx="326">
                  <c:v>22.599999999999898</c:v>
                </c:pt>
                <c:pt idx="327">
                  <c:v>22.6999999999999</c:v>
                </c:pt>
                <c:pt idx="328">
                  <c:v>22.799999999999901</c:v>
                </c:pt>
                <c:pt idx="329">
                  <c:v>22.899999999999899</c:v>
                </c:pt>
                <c:pt idx="330">
                  <c:v>22.999999999999901</c:v>
                </c:pt>
                <c:pt idx="331">
                  <c:v>23.099999999999898</c:v>
                </c:pt>
                <c:pt idx="332">
                  <c:v>23.1999999999999</c:v>
                </c:pt>
                <c:pt idx="333">
                  <c:v>23.299999999999901</c:v>
                </c:pt>
                <c:pt idx="334">
                  <c:v>23.399999999999899</c:v>
                </c:pt>
                <c:pt idx="335">
                  <c:v>23.499999999999901</c:v>
                </c:pt>
                <c:pt idx="336">
                  <c:v>23.599999999999898</c:v>
                </c:pt>
                <c:pt idx="337">
                  <c:v>23.6999999999999</c:v>
                </c:pt>
                <c:pt idx="338">
                  <c:v>23.799999999999901</c:v>
                </c:pt>
                <c:pt idx="339">
                  <c:v>23.899999999999899</c:v>
                </c:pt>
                <c:pt idx="340">
                  <c:v>23.999999999999901</c:v>
                </c:pt>
                <c:pt idx="341">
                  <c:v>24.099999999999898</c:v>
                </c:pt>
                <c:pt idx="342">
                  <c:v>24.1999999999999</c:v>
                </c:pt>
                <c:pt idx="343">
                  <c:v>24.299999999999901</c:v>
                </c:pt>
                <c:pt idx="344">
                  <c:v>24.399999999999899</c:v>
                </c:pt>
                <c:pt idx="345">
                  <c:v>24.499999999999901</c:v>
                </c:pt>
                <c:pt idx="346">
                  <c:v>24.599999999999898</c:v>
                </c:pt>
                <c:pt idx="347">
                  <c:v>24.6999999999999</c:v>
                </c:pt>
                <c:pt idx="348">
                  <c:v>24.799999999999901</c:v>
                </c:pt>
                <c:pt idx="349">
                  <c:v>24.899999999999899</c:v>
                </c:pt>
                <c:pt idx="350">
                  <c:v>24.999999999999901</c:v>
                </c:pt>
                <c:pt idx="351">
                  <c:v>25.099999999999898</c:v>
                </c:pt>
                <c:pt idx="352">
                  <c:v>25.1999999999999</c:v>
                </c:pt>
                <c:pt idx="353">
                  <c:v>25.299999999999901</c:v>
                </c:pt>
                <c:pt idx="354">
                  <c:v>25.399999999999899</c:v>
                </c:pt>
                <c:pt idx="355">
                  <c:v>25.499999999999901</c:v>
                </c:pt>
                <c:pt idx="356">
                  <c:v>25.599999999999898</c:v>
                </c:pt>
                <c:pt idx="357">
                  <c:v>25.6999999999999</c:v>
                </c:pt>
                <c:pt idx="358">
                  <c:v>25.799999999999901</c:v>
                </c:pt>
                <c:pt idx="359">
                  <c:v>25.899999999999899</c:v>
                </c:pt>
                <c:pt idx="360">
                  <c:v>25.999999999999901</c:v>
                </c:pt>
                <c:pt idx="361">
                  <c:v>26.099999999999898</c:v>
                </c:pt>
                <c:pt idx="362">
                  <c:v>26.1999999999999</c:v>
                </c:pt>
                <c:pt idx="363">
                  <c:v>26.299999999999901</c:v>
                </c:pt>
                <c:pt idx="364">
                  <c:v>26.399999999999899</c:v>
                </c:pt>
                <c:pt idx="365">
                  <c:v>26.499999999999901</c:v>
                </c:pt>
                <c:pt idx="366">
                  <c:v>26.599999999999898</c:v>
                </c:pt>
                <c:pt idx="367">
                  <c:v>26.6999999999999</c:v>
                </c:pt>
                <c:pt idx="368">
                  <c:v>26.799999999999901</c:v>
                </c:pt>
                <c:pt idx="369">
                  <c:v>26.899999999999899</c:v>
                </c:pt>
                <c:pt idx="370">
                  <c:v>26.999999999999901</c:v>
                </c:pt>
                <c:pt idx="371">
                  <c:v>27.099999999999898</c:v>
                </c:pt>
                <c:pt idx="372">
                  <c:v>27.1999999999999</c:v>
                </c:pt>
                <c:pt idx="373">
                  <c:v>27.299999999999901</c:v>
                </c:pt>
                <c:pt idx="374">
                  <c:v>27.399999999999899</c:v>
                </c:pt>
                <c:pt idx="375">
                  <c:v>27.499999999999901</c:v>
                </c:pt>
                <c:pt idx="376">
                  <c:v>27.599999999999898</c:v>
                </c:pt>
                <c:pt idx="377">
                  <c:v>27.6999999999999</c:v>
                </c:pt>
                <c:pt idx="378">
                  <c:v>27.799999999999901</c:v>
                </c:pt>
                <c:pt idx="379">
                  <c:v>27.899999999999899</c:v>
                </c:pt>
                <c:pt idx="380">
                  <c:v>27.999999999999901</c:v>
                </c:pt>
                <c:pt idx="381">
                  <c:v>28.099999999999898</c:v>
                </c:pt>
                <c:pt idx="382">
                  <c:v>28.1999999999999</c:v>
                </c:pt>
                <c:pt idx="383">
                  <c:v>28.299999999999901</c:v>
                </c:pt>
                <c:pt idx="384">
                  <c:v>28.399999999999899</c:v>
                </c:pt>
                <c:pt idx="385">
                  <c:v>28.499999999999901</c:v>
                </c:pt>
                <c:pt idx="386">
                  <c:v>28.599999999999898</c:v>
                </c:pt>
                <c:pt idx="387">
                  <c:v>28.6999999999999</c:v>
                </c:pt>
                <c:pt idx="388">
                  <c:v>28.799999999999901</c:v>
                </c:pt>
                <c:pt idx="389">
                  <c:v>28.899999999999899</c:v>
                </c:pt>
                <c:pt idx="390">
                  <c:v>28.999999999999901</c:v>
                </c:pt>
                <c:pt idx="391">
                  <c:v>29.099999999999898</c:v>
                </c:pt>
                <c:pt idx="392">
                  <c:v>29.1999999999999</c:v>
                </c:pt>
                <c:pt idx="393">
                  <c:v>29.299999999999901</c:v>
                </c:pt>
                <c:pt idx="394">
                  <c:v>29.399999999999899</c:v>
                </c:pt>
                <c:pt idx="395">
                  <c:v>29.499999999999901</c:v>
                </c:pt>
                <c:pt idx="396">
                  <c:v>29.599999999999898</c:v>
                </c:pt>
                <c:pt idx="397">
                  <c:v>29.6999999999999</c:v>
                </c:pt>
                <c:pt idx="398">
                  <c:v>29.799999999999901</c:v>
                </c:pt>
                <c:pt idx="399">
                  <c:v>29.899999999999899</c:v>
                </c:pt>
                <c:pt idx="400">
                  <c:v>29.999999999999901</c:v>
                </c:pt>
                <c:pt idx="401">
                  <c:v>30.099999999999898</c:v>
                </c:pt>
                <c:pt idx="402">
                  <c:v>30.1999999999999</c:v>
                </c:pt>
                <c:pt idx="403">
                  <c:v>30.299999999999901</c:v>
                </c:pt>
                <c:pt idx="404">
                  <c:v>30.399999999999899</c:v>
                </c:pt>
                <c:pt idx="405">
                  <c:v>30.499999999999901</c:v>
                </c:pt>
                <c:pt idx="406">
                  <c:v>30.599999999999898</c:v>
                </c:pt>
                <c:pt idx="407">
                  <c:v>30.6999999999999</c:v>
                </c:pt>
                <c:pt idx="408">
                  <c:v>30.799999999999901</c:v>
                </c:pt>
                <c:pt idx="409">
                  <c:v>30.899999999999899</c:v>
                </c:pt>
                <c:pt idx="410">
                  <c:v>30.999999999999901</c:v>
                </c:pt>
                <c:pt idx="411">
                  <c:v>31.099999999999898</c:v>
                </c:pt>
                <c:pt idx="412">
                  <c:v>31.1999999999999</c:v>
                </c:pt>
                <c:pt idx="413">
                  <c:v>31.299999999999901</c:v>
                </c:pt>
                <c:pt idx="414">
                  <c:v>31.3999999999998</c:v>
                </c:pt>
                <c:pt idx="415">
                  <c:v>31.499999999999901</c:v>
                </c:pt>
                <c:pt idx="416">
                  <c:v>31.599999999999898</c:v>
                </c:pt>
                <c:pt idx="417">
                  <c:v>31.6999999999999</c:v>
                </c:pt>
                <c:pt idx="418">
                  <c:v>31.799999999999901</c:v>
                </c:pt>
                <c:pt idx="419">
                  <c:v>31.8999999999998</c:v>
                </c:pt>
                <c:pt idx="420">
                  <c:v>31.999999999999901</c:v>
                </c:pt>
                <c:pt idx="421">
                  <c:v>32.099999999999902</c:v>
                </c:pt>
                <c:pt idx="422">
                  <c:v>32.199999999999797</c:v>
                </c:pt>
                <c:pt idx="423">
                  <c:v>32.299999999999798</c:v>
                </c:pt>
                <c:pt idx="424">
                  <c:v>32.3999999999998</c:v>
                </c:pt>
                <c:pt idx="425">
                  <c:v>32.499999999999901</c:v>
                </c:pt>
                <c:pt idx="426">
                  <c:v>32.599999999999902</c:v>
                </c:pt>
              </c:numCache>
            </c:numRef>
          </c:xVal>
          <c:yVal>
            <c:numRef>
              <c:f>Sheet1!$N$9:$N$435</c:f>
              <c:numCache>
                <c:formatCode>General</c:formatCode>
                <c:ptCount val="427"/>
                <c:pt idx="0">
                  <c:v>-0.24136009027028571</c:v>
                </c:pt>
                <c:pt idx="1">
                  <c:v>-0.234535154529945</c:v>
                </c:pt>
                <c:pt idx="2">
                  <c:v>-0.22771017695932771</c:v>
                </c:pt>
                <c:pt idx="3">
                  <c:v>-0.22088515634790795</c:v>
                </c:pt>
                <c:pt idx="4">
                  <c:v>-0.21406009143799398</c:v>
                </c:pt>
                <c:pt idx="5">
                  <c:v>-0.20723498092240256</c:v>
                </c:pt>
                <c:pt idx="6">
                  <c:v>-0.20040982344200886</c:v>
                </c:pt>
                <c:pt idx="7">
                  <c:v>-0.19358461758313172</c:v>
                </c:pt>
                <c:pt idx="8">
                  <c:v>-0.1867593618747736</c:v>
                </c:pt>
                <c:pt idx="9">
                  <c:v>-0.17993405478568336</c:v>
                </c:pt>
                <c:pt idx="10">
                  <c:v>-0.1731086947212388</c:v>
                </c:pt>
                <c:pt idx="11">
                  <c:v>-0.16628328002013415</c:v>
                </c:pt>
                <c:pt idx="12">
                  <c:v>-0.15945780895085981</c:v>
                </c:pt>
                <c:pt idx="13">
                  <c:v>-0.15263227970795024</c:v>
                </c:pt>
                <c:pt idx="14">
                  <c:v>-0.14580669040799421</c:v>
                </c:pt>
                <c:pt idx="15">
                  <c:v>-0.13898103908538273</c:v>
                </c:pt>
                <c:pt idx="16">
                  <c:v>-0.13215532368776817</c:v>
                </c:pt>
                <c:pt idx="17">
                  <c:v>-0.1253295420712397</c:v>
                </c:pt>
                <c:pt idx="18">
                  <c:v>-0.11850369199514699</c:v>
                </c:pt>
                <c:pt idx="19">
                  <c:v>-0.1116777711165815</c:v>
                </c:pt>
                <c:pt idx="20">
                  <c:v>-0.10485177698448389</c:v>
                </c:pt>
                <c:pt idx="21">
                  <c:v>-9.8025707033319698E-2</c:v>
                </c:pt>
                <c:pt idx="22">
                  <c:v>-9.1199558576319228E-2</c:v>
                </c:pt>
                <c:pt idx="23">
                  <c:v>-8.4373328798234448E-2</c:v>
                </c:pt>
                <c:pt idx="24">
                  <c:v>-7.7547014747560761E-2</c:v>
                </c:pt>
                <c:pt idx="25">
                  <c:v>-7.0720613328189907E-2</c:v>
                </c:pt>
                <c:pt idx="26">
                  <c:v>-6.3894121290451578E-2</c:v>
                </c:pt>
                <c:pt idx="27">
                  <c:v>-5.7067535221456023E-2</c:v>
                </c:pt>
                <c:pt idx="28">
                  <c:v>-5.0240851534736564E-2</c:v>
                </c:pt>
                <c:pt idx="29">
                  <c:v>-4.3414066459050771E-2</c:v>
                </c:pt>
                <c:pt idx="30">
                  <c:v>-3.658717602633188E-2</c:v>
                </c:pt>
                <c:pt idx="31">
                  <c:v>-2.976017605868253E-2</c:v>
                </c:pt>
                <c:pt idx="32">
                  <c:v>-2.2933062154302908E-2</c:v>
                </c:pt>
                <c:pt idx="33">
                  <c:v>-1.6105829672294014E-2</c:v>
                </c:pt>
                <c:pt idx="34">
                  <c:v>-9.2784737162006081E-3</c:v>
                </c:pt>
                <c:pt idx="35">
                  <c:v>-2.4509891161592634E-3</c:v>
                </c:pt>
                <c:pt idx="36">
                  <c:v>4.376629590445491E-3</c:v>
                </c:pt>
                <c:pt idx="37">
                  <c:v>1.1204388180013902E-2</c:v>
                </c:pt>
                <c:pt idx="38">
                  <c:v>1.8032292765591817E-2</c:v>
                </c:pt>
                <c:pt idx="39">
                  <c:v>2.4860349821759886E-2</c:v>
                </c:pt>
                <c:pt idx="40">
                  <c:v>3.1688566211772518E-2</c:v>
                </c:pt>
                <c:pt idx="41">
                  <c:v>3.8516949217171526E-2</c:v>
                </c:pt>
                <c:pt idx="42">
                  <c:v>4.534550657015135E-2</c:v>
                </c:pt>
                <c:pt idx="43">
                  <c:v>5.2174246488982057E-2</c:v>
                </c:pt>
                <c:pt idx="44">
                  <c:v>5.9003177716822286E-2</c:v>
                </c:pt>
                <c:pt idx="45">
                  <c:v>6.5832309564314961E-2</c:v>
                </c:pt>
                <c:pt idx="46">
                  <c:v>7.2661651956400286E-2</c:v>
                </c:pt>
                <c:pt idx="47">
                  <c:v>7.9491215483840971E-2</c:v>
                </c:pt>
                <c:pt idx="48">
                  <c:v>8.6321011460024355E-2</c:v>
                </c:pt>
                <c:pt idx="49">
                  <c:v>9.3151051983686228E-2</c:v>
                </c:pt>
                <c:pt idx="50">
                  <c:v>9.9981350008272019E-2</c:v>
                </c:pt>
                <c:pt idx="51">
                  <c:v>0.10681191941880197</c:v>
                </c:pt>
                <c:pt idx="52">
                  <c:v>0.11364277511717202</c:v>
                </c:pt>
                <c:pt idx="53">
                  <c:v>0.12047393311700838</c:v>
                </c:pt>
                <c:pt idx="54">
                  <c:v>0.12730541064935363</c:v>
                </c:pt>
                <c:pt idx="55">
                  <c:v>0.13413722628063129</c:v>
                </c:pt>
                <c:pt idx="56">
                  <c:v>0.14096940004462066</c:v>
                </c:pt>
                <c:pt idx="57">
                  <c:v>0.14780195359039139</c:v>
                </c:pt>
                <c:pt idx="58">
                  <c:v>0.15463491034851584</c:v>
                </c:pt>
                <c:pt idx="59">
                  <c:v>0.16146829571824894</c:v>
                </c:pt>
                <c:pt idx="60">
                  <c:v>0.16830213727881582</c:v>
                </c:pt>
                <c:pt idx="61">
                  <c:v>0.17513646502852698</c:v>
                </c:pt>
                <c:pt idx="62">
                  <c:v>0.1819713116560876</c:v>
                </c:pt>
                <c:pt idx="63">
                  <c:v>0.1888067128492702</c:v>
                </c:pt>
                <c:pt idx="64">
                  <c:v>0.19564270764711467</c:v>
                </c:pt>
                <c:pt idx="65">
                  <c:v>0.20247933884297364</c:v>
                </c:pt>
                <c:pt idx="66">
                  <c:v>0.20931665344719408</c:v>
                </c:pt>
                <c:pt idx="67">
                  <c:v>0.21615470321999486</c:v>
                </c:pt>
                <c:pt idx="68">
                  <c:v>0.22299354528729298</c:v>
                </c:pt>
                <c:pt idx="69">
                  <c:v>0.22983324285495443</c:v>
                </c:pt>
                <c:pt idx="70">
                  <c:v>0.23667386604033547</c:v>
                </c:pt>
                <c:pt idx="71">
                  <c:v>0.24351549284423646</c:v>
                </c:pt>
                <c:pt idx="72">
                  <c:v>0.25035821029174654</c:v>
                </c:pt>
                <c:pt idx="73">
                  <c:v>0.25720211577727303</c:v>
                </c:pt>
                <c:pt idx="74">
                  <c:v>0.26404731865773301</c:v>
                </c:pt>
                <c:pt idx="75">
                  <c:v>0.27089394214906448</c:v>
                </c:pt>
                <c:pt idx="76">
                  <c:v>0.2777421255957141</c:v>
                </c:pt>
                <c:pt idx="77">
                  <c:v>0.28459202720164534</c:v>
                </c:pt>
                <c:pt idx="78">
                  <c:v>0.29144382733634289</c:v>
                </c:pt>
                <c:pt idx="79">
                  <c:v>0.29829773256234215</c:v>
                </c:pt>
                <c:pt idx="80">
                  <c:v>0.3051539805751623</c:v>
                </c:pt>
                <c:pt idx="81">
                  <c:v>0.31201284630658471</c:v>
                </c:pt>
                <c:pt idx="82">
                  <c:v>0.31887464952440853</c:v>
                </c:pt>
                <c:pt idx="83">
                  <c:v>0.32573976437568436</c:v>
                </c:pt>
                <c:pt idx="84">
                  <c:v>0.33260863148004682</c:v>
                </c:pt>
                <c:pt idx="85">
                  <c:v>0.3394817734066789</c:v>
                </c:pt>
                <c:pt idx="86">
                  <c:v>0.34635981469564842</c:v>
                </c:pt>
                <c:pt idx="87">
                  <c:v>0.35324350806389504</c:v>
                </c:pt>
                <c:pt idx="88">
                  <c:v>0.36013376915114137</c:v>
                </c:pt>
                <c:pt idx="89">
                  <c:v>0.3670317232477982</c:v>
                </c:pt>
                <c:pt idx="90">
                  <c:v>0.3739387691339795</c:v>
                </c:pt>
                <c:pt idx="91">
                  <c:v>0.38085666783974165</c:v>
                </c:pt>
                <c:pt idx="92">
                  <c:v>0.38778766851008128</c:v>
                </c:pt>
                <c:pt idx="93">
                  <c:v>0.39473469090541236</c:v>
                </c:pt>
                <c:pt idx="94">
                  <c:v>0.40170159682991247</c:v>
                </c:pt>
                <c:pt idx="95">
                  <c:v>0.40869360580859582</c:v>
                </c:pt>
                <c:pt idx="96">
                  <c:v>0.41571795376513809</c:v>
                </c:pt>
                <c:pt idx="97">
                  <c:v>0.42278497971441859</c:v>
                </c:pt>
                <c:pt idx="98">
                  <c:v>0.42991000771332866</c:v>
                </c:pt>
                <c:pt idx="99">
                  <c:v>0.43711680623608762</c:v>
                </c:pt>
                <c:pt idx="100">
                  <c:v>0.44444444444444442</c:v>
                </c:pt>
                <c:pt idx="101">
                  <c:v>0.451962290716513</c:v>
                </c:pt>
                <c:pt idx="102">
                  <c:v>0.45980762113533152</c:v>
                </c:pt>
                <c:pt idx="103">
                  <c:v>0.46830141585090646</c:v>
                </c:pt>
                <c:pt idx="104">
                  <c:v>0.47846096908265273</c:v>
                </c:pt>
                <c:pt idx="105">
                  <c:v>0.5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0.5</c:v>
                </c:pt>
                <c:pt idx="111">
                  <c:v>0.51707281298158936</c:v>
                </c:pt>
                <c:pt idx="112">
                  <c:v>0.53800837266252521</c:v>
                </c:pt>
                <c:pt idx="113">
                  <c:v>0.56108861892250594</c:v>
                </c:pt>
                <c:pt idx="114">
                  <c:v>0.58559430185749017</c:v>
                </c:pt>
                <c:pt idx="115">
                  <c:v>0.61111111111111116</c:v>
                </c:pt>
                <c:pt idx="116">
                  <c:v>0.63737550680208321</c:v>
                </c:pt>
                <c:pt idx="117">
                  <c:v>0.66420979357821108</c:v>
                </c:pt>
                <c:pt idx="118">
                  <c:v>0.69148912025143316</c:v>
                </c:pt>
                <c:pt idx="119">
                  <c:v>0.71912293302534935</c:v>
                </c:pt>
                <c:pt idx="120">
                  <c:v>0.74704384169763016</c:v>
                </c:pt>
                <c:pt idx="121">
                  <c:v>0.77520060471665408</c:v>
                </c:pt>
                <c:pt idx="122">
                  <c:v>0.80355353836763055</c:v>
                </c:pt>
                <c:pt idx="123">
                  <c:v>0.83207141753397695</c:v>
                </c:pt>
                <c:pt idx="124">
                  <c:v>0.86072932787995915</c:v>
                </c:pt>
                <c:pt idx="125">
                  <c:v>0.88950714346443815</c:v>
                </c:pt>
                <c:pt idx="126">
                  <c:v>0.91838842622334105</c:v>
                </c:pt>
                <c:pt idx="127">
                  <c:v>0.94735961646644751</c:v>
                </c:pt>
                <c:pt idx="128">
                  <c:v>0.97640942813048026</c:v>
                </c:pt>
                <c:pt idx="129">
                  <c:v>1.0055283906570063</c:v>
                </c:pt>
                <c:pt idx="130">
                  <c:v>1.0347084975412582</c:v>
                </c:pt>
                <c:pt idx="131">
                  <c:v>1.0639429336030115</c:v>
                </c:pt>
                <c:pt idx="132">
                  <c:v>1.0932258611144807</c:v>
                </c:pt>
                <c:pt idx="133">
                  <c:v>1.1225522504597922</c:v>
                </c:pt>
                <c:pt idx="134">
                  <c:v>1.1519177448576114</c:v>
                </c:pt>
                <c:pt idx="135">
                  <c:v>1.1813185514034019</c:v>
                </c:pt>
                <c:pt idx="136">
                  <c:v>1.2107513526386997</c:v>
                </c:pt>
                <c:pt idx="137">
                  <c:v>1.2402132342689747</c:v>
                </c:pt>
                <c:pt idx="138">
                  <c:v>1.2697016256884388</c:v>
                </c:pt>
                <c:pt idx="139">
                  <c:v>1.2992142507384454</c:v>
                </c:pt>
                <c:pt idx="140">
                  <c:v>1.3287490867010321</c:v>
                </c:pt>
                <c:pt idx="141">
                  <c:v>1.3583043299633801</c:v>
                </c:pt>
                <c:pt idx="142">
                  <c:v>1.3878783671199466</c:v>
                </c:pt>
                <c:pt idx="143">
                  <c:v>1.4174697505325253</c:v>
                </c:pt>
                <c:pt idx="144">
                  <c:v>1.4470771775661011</c:v>
                </c:pt>
                <c:pt idx="145">
                  <c:v>1.4766994728706799</c:v>
                </c:pt>
                <c:pt idx="146">
                  <c:v>1.5063355732001253</c:v>
                </c:pt>
                <c:pt idx="147">
                  <c:v>1.5359845143538935</c:v>
                </c:pt>
                <c:pt idx="148">
                  <c:v>1.5656454199030987</c:v>
                </c:pt>
                <c:pt idx="149">
                  <c:v>1.5953174914226793</c:v>
                </c:pt>
                <c:pt idx="150">
                  <c:v>1.6249999999999702</c:v>
                </c:pt>
                <c:pt idx="151">
                  <c:v>1.6546922788291867</c:v>
                </c:pt>
                <c:pt idx="152">
                  <c:v>1.6843937167331267</c:v>
                </c:pt>
                <c:pt idx="153">
                  <c:v>1.7141037524793941</c:v>
                </c:pt>
                <c:pt idx="154">
                  <c:v>1.7438218697796983</c:v>
                </c:pt>
                <c:pt idx="155">
                  <c:v>1.7735475928783226</c:v>
                </c:pt>
                <c:pt idx="156">
                  <c:v>1.8032804826503117</c:v>
                </c:pt>
                <c:pt idx="157">
                  <c:v>1.8330201331419564</c:v>
                </c:pt>
                <c:pt idx="158">
                  <c:v>1.8627661684961572</c:v>
                </c:pt>
                <c:pt idx="159">
                  <c:v>1.8925182402136045</c:v>
                </c:pt>
                <c:pt idx="160">
                  <c:v>1.9222760247077431</c:v>
                </c:pt>
                <c:pt idx="161">
                  <c:v>1.9520392211174038</c:v>
                </c:pt>
                <c:pt idx="162">
                  <c:v>1.9818075493459495</c:v>
                </c:pt>
                <c:pt idx="163">
                  <c:v>2.0115807483000392</c:v>
                </c:pt>
                <c:pt idx="164">
                  <c:v>2.0413585743046947</c:v>
                </c:pt>
                <c:pt idx="165">
                  <c:v>2.0711407996744047</c:v>
                </c:pt>
                <c:pt idx="166">
                  <c:v>2.1009272114226434</c:v>
                </c:pt>
                <c:pt idx="167">
                  <c:v>2.1307176100944001</c:v>
                </c:pt>
                <c:pt idx="168">
                  <c:v>2.1605118087082555</c:v>
                </c:pt>
                <c:pt idx="169">
                  <c:v>2.1903096317961901</c:v>
                </c:pt>
                <c:pt idx="170">
                  <c:v>2.220110914530756</c:v>
                </c:pt>
                <c:pt idx="171">
                  <c:v>2.2499155019304791</c:v>
                </c:pt>
                <c:pt idx="172">
                  <c:v>2.2797232481354142</c:v>
                </c:pt>
                <c:pt idx="173">
                  <c:v>2.3095340157457511</c:v>
                </c:pt>
                <c:pt idx="174">
                  <c:v>2.3393476752171534</c:v>
                </c:pt>
                <c:pt idx="175">
                  <c:v>2.3691641043072207</c:v>
                </c:pt>
                <c:pt idx="176">
                  <c:v>2.3989831875681231</c:v>
                </c:pt>
                <c:pt idx="177">
                  <c:v>2.428804815880953</c:v>
                </c:pt>
                <c:pt idx="178">
                  <c:v>2.4586288860278627</c:v>
                </c:pt>
                <c:pt idx="179">
                  <c:v>2.488455300298452</c:v>
                </c:pt>
                <c:pt idx="180">
                  <c:v>2.5182839661272447</c:v>
                </c:pt>
                <c:pt idx="181">
                  <c:v>2.5481147957594388</c:v>
                </c:pt>
                <c:pt idx="182">
                  <c:v>2.5779477059423677</c:v>
                </c:pt>
                <c:pt idx="183">
                  <c:v>2.6077826176404311</c:v>
                </c:pt>
                <c:pt idx="184">
                  <c:v>2.6376194557713917</c:v>
                </c:pt>
                <c:pt idx="185">
                  <c:v>2.6674581489622371</c:v>
                </c:pt>
                <c:pt idx="186">
                  <c:v>2.6972986293229031</c:v>
                </c:pt>
                <c:pt idx="187">
                  <c:v>2.7271408322363633</c:v>
                </c:pt>
                <c:pt idx="188">
                  <c:v>2.7569846961637254</c:v>
                </c:pt>
                <c:pt idx="189">
                  <c:v>2.786830162463088</c:v>
                </c:pt>
                <c:pt idx="190">
                  <c:v>2.8166771752210376</c:v>
                </c:pt>
                <c:pt idx="191">
                  <c:v>2.8465256810957844</c:v>
                </c:pt>
                <c:pt idx="192">
                  <c:v>2.8763756291709823</c:v>
                </c:pt>
                <c:pt idx="193">
                  <c:v>2.9062269708194202</c:v>
                </c:pt>
                <c:pt idx="194">
                  <c:v>2.9360796595757956</c:v>
                </c:pt>
                <c:pt idx="195">
                  <c:v>2.9659336510178922</c:v>
                </c:pt>
                <c:pt idx="196">
                  <c:v>2.9957889026554918</c:v>
                </c:pt>
                <c:pt idx="197">
                  <c:v>3.0256453738264777</c:v>
                </c:pt>
                <c:pt idx="198">
                  <c:v>3.0555030255995548</c:v>
                </c:pt>
                <c:pt idx="199">
                  <c:v>3.0853618206831239</c:v>
                </c:pt>
                <c:pt idx="200">
                  <c:v>3.1152217233398525</c:v>
                </c:pt>
                <c:pt idx="201">
                  <c:v>3.1450826993065317</c:v>
                </c:pt>
                <c:pt idx="202">
                  <c:v>3.1749447157188451</c:v>
                </c:pt>
                <c:pt idx="203">
                  <c:v>3.2048077410406872</c:v>
                </c:pt>
                <c:pt idx="204">
                  <c:v>3.2346717449977413</c:v>
                </c:pt>
                <c:pt idx="205">
                  <c:v>3.2645366985149913</c:v>
                </c:pt>
                <c:pt idx="206">
                  <c:v>3.294402573657913</c:v>
                </c:pt>
                <c:pt idx="207">
                  <c:v>3.3242693435770971</c:v>
                </c:pt>
                <c:pt idx="208">
                  <c:v>3.354136982456065</c:v>
                </c:pt>
                <c:pt idx="209">
                  <c:v>3.384005465462069</c:v>
                </c:pt>
                <c:pt idx="210">
                  <c:v>3.4138747686996709</c:v>
                </c:pt>
                <c:pt idx="211">
                  <c:v>3.4437448691669394</c:v>
                </c:pt>
                <c:pt idx="212">
                  <c:v>3.473615744714063</c:v>
                </c:pt>
                <c:pt idx="213">
                  <c:v>3.5034873740042607</c:v>
                </c:pt>
                <c:pt idx="214">
                  <c:v>3.5333597364768123</c:v>
                </c:pt>
                <c:pt idx="215">
                  <c:v>3.5632328123120858</c:v>
                </c:pt>
                <c:pt idx="216">
                  <c:v>3.5931065823984607</c:v>
                </c:pt>
                <c:pt idx="217">
                  <c:v>3.6229810283009733</c:v>
                </c:pt>
                <c:pt idx="218">
                  <c:v>3.6528561322316455</c:v>
                </c:pt>
                <c:pt idx="219">
                  <c:v>3.6827318770213417</c:v>
                </c:pt>
                <c:pt idx="220">
                  <c:v>3.7126082460930898</c:v>
                </c:pt>
                <c:pt idx="221">
                  <c:v>3.7424852234367676</c:v>
                </c:pt>
                <c:pt idx="222">
                  <c:v>3.7723627935850814</c:v>
                </c:pt>
                <c:pt idx="223">
                  <c:v>3.8022409415907519</c:v>
                </c:pt>
                <c:pt idx="224">
                  <c:v>3.8321196530048391</c:v>
                </c:pt>
                <c:pt idx="225">
                  <c:v>3.8619989138561461</c:v>
                </c:pt>
                <c:pt idx="226">
                  <c:v>3.8918787106316395</c:v>
                </c:pt>
                <c:pt idx="227">
                  <c:v>3.9217590302578169</c:v>
                </c:pt>
                <c:pt idx="228">
                  <c:v>3.951639860082981</c:v>
                </c:pt>
                <c:pt idx="229">
                  <c:v>3.9815211878603654</c:v>
                </c:pt>
                <c:pt idx="230">
                  <c:v>4.011403001732055</c:v>
                </c:pt>
                <c:pt idx="231">
                  <c:v>4.0412852902136871</c:v>
                </c:pt>
                <c:pt idx="232">
                  <c:v>4.0711680421798464</c:v>
                </c:pt>
                <c:pt idx="233">
                  <c:v>4.1010512468501519</c:v>
                </c:pt>
                <c:pt idx="234">
                  <c:v>4.130934893775982</c:v>
                </c:pt>
                <c:pt idx="235">
                  <c:v>4.1608189728278191</c:v>
                </c:pt>
                <c:pt idx="236">
                  <c:v>4.190703474183147</c:v>
                </c:pt>
                <c:pt idx="237">
                  <c:v>4.2205883883149138</c:v>
                </c:pt>
                <c:pt idx="238">
                  <c:v>4.2504737059805064</c:v>
                </c:pt>
                <c:pt idx="239">
                  <c:v>4.2803594182112068</c:v>
                </c:pt>
                <c:pt idx="240">
                  <c:v>4.3102455163021336</c:v>
                </c:pt>
                <c:pt idx="241">
                  <c:v>4.3401319918025942</c:v>
                </c:pt>
                <c:pt idx="242">
                  <c:v>4.3700188365068904</c:v>
                </c:pt>
                <c:pt idx="243">
                  <c:v>4.3999060424454886</c:v>
                </c:pt>
                <c:pt idx="244">
                  <c:v>4.4297936018765958</c:v>
                </c:pt>
                <c:pt idx="245">
                  <c:v>4.4596815072780789</c:v>
                </c:pt>
                <c:pt idx="246">
                  <c:v>4.4895697513397241</c:v>
                </c:pt>
                <c:pt idx="247">
                  <c:v>4.5194583269558333</c:v>
                </c:pt>
                <c:pt idx="248">
                  <c:v>4.5493472272181137</c:v>
                </c:pt>
                <c:pt idx="249">
                  <c:v>4.5792364454088794</c:v>
                </c:pt>
                <c:pt idx="250">
                  <c:v>4.6091259749945133</c:v>
                </c:pt>
                <c:pt idx="251">
                  <c:v>4.6390158096192105</c:v>
                </c:pt>
                <c:pt idx="252">
                  <c:v>4.6689059430989666</c:v>
                </c:pt>
                <c:pt idx="253">
                  <c:v>4.6987963694158195</c:v>
                </c:pt>
                <c:pt idx="254">
                  <c:v>4.7286870827123018</c:v>
                </c:pt>
                <c:pt idx="255">
                  <c:v>4.7585780772861384</c:v>
                </c:pt>
                <c:pt idx="256">
                  <c:v>4.7884693475851252</c:v>
                </c:pt>
                <c:pt idx="257">
                  <c:v>4.8183608882022488</c:v>
                </c:pt>
                <c:pt idx="258">
                  <c:v>4.8482526938709372</c:v>
                </c:pt>
                <c:pt idx="259">
                  <c:v>4.878144759460568</c:v>
                </c:pt>
                <c:pt idx="260">
                  <c:v>4.9080370799720656</c:v>
                </c:pt>
                <c:pt idx="261">
                  <c:v>4.9379296505337607</c:v>
                </c:pt>
                <c:pt idx="262">
                  <c:v>4.9678224663973207</c:v>
                </c:pt>
                <c:pt idx="263">
                  <c:v>4.9977155229338841</c:v>
                </c:pt>
                <c:pt idx="264">
                  <c:v>5.0276088156303267</c:v>
                </c:pt>
                <c:pt idx="265">
                  <c:v>5.0575023400856614</c:v>
                </c:pt>
                <c:pt idx="266">
                  <c:v>5.0873960920075874</c:v>
                </c:pt>
                <c:pt idx="267">
                  <c:v>5.1172900672091455</c:v>
                </c:pt>
                <c:pt idx="268">
                  <c:v>5.1471842616055117</c:v>
                </c:pt>
                <c:pt idx="269">
                  <c:v>5.1770786712108983</c:v>
                </c:pt>
                <c:pt idx="270">
                  <c:v>5.2069732921355705</c:v>
                </c:pt>
                <c:pt idx="271">
                  <c:v>5.2368681205829741</c:v>
                </c:pt>
                <c:pt idx="272">
                  <c:v>5.2667631528469609</c:v>
                </c:pt>
                <c:pt idx="273">
                  <c:v>5.2966583853091089</c:v>
                </c:pt>
                <c:pt idx="274">
                  <c:v>5.3265538144361466</c:v>
                </c:pt>
                <c:pt idx="275">
                  <c:v>5.3564494367774653</c:v>
                </c:pt>
                <c:pt idx="276">
                  <c:v>5.3863452489627024</c:v>
                </c:pt>
                <c:pt idx="277">
                  <c:v>5.4162412476994399</c:v>
                </c:pt>
                <c:pt idx="278">
                  <c:v>5.4461374297709551</c:v>
                </c:pt>
                <c:pt idx="279">
                  <c:v>5.4760337920340536</c:v>
                </c:pt>
                <c:pt idx="280">
                  <c:v>5.5059303314169901</c:v>
                </c:pt>
                <c:pt idx="281">
                  <c:v>5.5358270449174443</c:v>
                </c:pt>
                <c:pt idx="282">
                  <c:v>5.5657239296005656</c:v>
                </c:pt>
                <c:pt idx="283">
                  <c:v>5.5956209825970991</c:v>
                </c:pt>
                <c:pt idx="284">
                  <c:v>5.6255182011015554</c:v>
                </c:pt>
                <c:pt idx="285">
                  <c:v>5.6554155823704519</c:v>
                </c:pt>
                <c:pt idx="286">
                  <c:v>5.6853131237206105</c:v>
                </c:pt>
                <c:pt idx="287">
                  <c:v>5.7152108225275056</c:v>
                </c:pt>
                <c:pt idx="288">
                  <c:v>5.7451086762236701</c:v>
                </c:pt>
                <c:pt idx="289">
                  <c:v>5.7750066822971569</c:v>
                </c:pt>
                <c:pt idx="290">
                  <c:v>5.8049048382900494</c:v>
                </c:pt>
                <c:pt idx="291">
                  <c:v>5.8348031417970061</c:v>
                </c:pt>
                <c:pt idx="292">
                  <c:v>5.86470159046387</c:v>
                </c:pt>
                <c:pt idx="293">
                  <c:v>5.8946001819863127</c:v>
                </c:pt>
                <c:pt idx="294">
                  <c:v>5.9244989141085211</c:v>
                </c:pt>
                <c:pt idx="295">
                  <c:v>5.954397784621932</c:v>
                </c:pt>
                <c:pt idx="296">
                  <c:v>5.9842967913639953</c:v>
                </c:pt>
                <c:pt idx="297">
                  <c:v>6.0141959322169827</c:v>
                </c:pt>
                <c:pt idx="298">
                  <c:v>6.0440952051068431</c:v>
                </c:pt>
                <c:pt idx="299">
                  <c:v>6.0739946080020628</c:v>
                </c:pt>
                <c:pt idx="300">
                  <c:v>6.1038941389126045</c:v>
                </c:pt>
                <c:pt idx="301">
                  <c:v>6.1337937958888267</c:v>
                </c:pt>
                <c:pt idx="302">
                  <c:v>6.1636935770204904</c:v>
                </c:pt>
                <c:pt idx="303">
                  <c:v>6.1935934804357489</c:v>
                </c:pt>
                <c:pt idx="304">
                  <c:v>6.2234935043001975</c:v>
                </c:pt>
                <c:pt idx="305">
                  <c:v>6.2533936468159457</c:v>
                </c:pt>
                <c:pt idx="306">
                  <c:v>6.2832939062207043</c:v>
                </c:pt>
                <c:pt idx="307">
                  <c:v>6.3131942807869095</c:v>
                </c:pt>
                <c:pt idx="308">
                  <c:v>6.3430947688208761</c:v>
                </c:pt>
                <c:pt idx="309">
                  <c:v>6.372995368661968</c:v>
                </c:pt>
                <c:pt idx="310">
                  <c:v>6.4028960786818008</c:v>
                </c:pt>
                <c:pt idx="311">
                  <c:v>6.432796897283457</c:v>
                </c:pt>
                <c:pt idx="312">
                  <c:v>6.4626978229007328</c:v>
                </c:pt>
                <c:pt idx="313">
                  <c:v>6.4925988539974009</c:v>
                </c:pt>
                <c:pt idx="314">
                  <c:v>6.522499989066497</c:v>
                </c:pt>
                <c:pt idx="315">
                  <c:v>6.5524012266296268</c:v>
                </c:pt>
                <c:pt idx="316">
                  <c:v>6.5823025652362945</c:v>
                </c:pt>
                <c:pt idx="317">
                  <c:v>6.6122040034632485</c:v>
                </c:pt>
                <c:pt idx="318">
                  <c:v>6.6421055399138389</c:v>
                </c:pt>
                <c:pt idx="319">
                  <c:v>6.6720071732173993</c:v>
                </c:pt>
                <c:pt idx="320">
                  <c:v>6.7019089020286531</c:v>
                </c:pt>
                <c:pt idx="321">
                  <c:v>6.7318107250271177</c:v>
                </c:pt>
                <c:pt idx="322">
                  <c:v>6.7617126409165511</c:v>
                </c:pt>
                <c:pt idx="323">
                  <c:v>6.7916146484243818</c:v>
                </c:pt>
                <c:pt idx="324">
                  <c:v>6.8215167463011737</c:v>
                </c:pt>
                <c:pt idx="325">
                  <c:v>6.8514189333201152</c:v>
                </c:pt>
                <c:pt idx="326">
                  <c:v>6.8813212082764945</c:v>
                </c:pt>
                <c:pt idx="327">
                  <c:v>6.9112235699872215</c:v>
                </c:pt>
                <c:pt idx="328">
                  <c:v>6.9411260172903209</c:v>
                </c:pt>
                <c:pt idx="329">
                  <c:v>6.9710285490444797</c:v>
                </c:pt>
                <c:pt idx="330">
                  <c:v>7.0009311641285956</c:v>
                </c:pt>
                <c:pt idx="331">
                  <c:v>7.0308338614413115</c:v>
                </c:pt>
                <c:pt idx="332">
                  <c:v>7.0607366399006004</c:v>
                </c:pt>
                <c:pt idx="333">
                  <c:v>7.0906394984433359</c:v>
                </c:pt>
                <c:pt idx="334">
                  <c:v>7.1205424360248735</c:v>
                </c:pt>
                <c:pt idx="335">
                  <c:v>7.1504454516186762</c:v>
                </c:pt>
                <c:pt idx="336">
                  <c:v>7.1803485442158967</c:v>
                </c:pt>
                <c:pt idx="337">
                  <c:v>7.210251712825003</c:v>
                </c:pt>
                <c:pt idx="338">
                  <c:v>7.2401549564714243</c:v>
                </c:pt>
                <c:pt idx="339">
                  <c:v>7.2700582741971758</c:v>
                </c:pt>
                <c:pt idx="340">
                  <c:v>7.2999616650605033</c:v>
                </c:pt>
                <c:pt idx="341">
                  <c:v>7.3298651281355651</c:v>
                </c:pt>
                <c:pt idx="342">
                  <c:v>7.359768662512062</c:v>
                </c:pt>
                <c:pt idx="343">
                  <c:v>7.3896722672949462</c:v>
                </c:pt>
                <c:pt idx="344">
                  <c:v>7.419575941604073</c:v>
                </c:pt>
                <c:pt idx="345">
                  <c:v>7.4494796845739275</c:v>
                </c:pt>
                <c:pt idx="346">
                  <c:v>7.4793834953532814</c:v>
                </c:pt>
                <c:pt idx="347">
                  <c:v>7.5092873731049359</c:v>
                </c:pt>
                <c:pt idx="348">
                  <c:v>7.5391913170054039</c:v>
                </c:pt>
                <c:pt idx="349">
                  <c:v>7.569095326244649</c:v>
                </c:pt>
                <c:pt idx="350">
                  <c:v>7.5989994000258125</c:v>
                </c:pt>
                <c:pt idx="351">
                  <c:v>7.6289035375649323</c:v>
                </c:pt>
                <c:pt idx="352">
                  <c:v>7.6588077380907</c:v>
                </c:pt>
                <c:pt idx="353">
                  <c:v>7.688712000844192</c:v>
                </c:pt>
                <c:pt idx="354">
                  <c:v>7.7186163250786315</c:v>
                </c:pt>
                <c:pt idx="355">
                  <c:v>7.7485207100591431</c:v>
                </c:pt>
                <c:pt idx="356">
                  <c:v>7.7784251550625134</c:v>
                </c:pt>
                <c:pt idx="357">
                  <c:v>7.8083296593769704</c:v>
                </c:pt>
                <c:pt idx="358">
                  <c:v>7.8382342223019448</c:v>
                </c:pt>
                <c:pt idx="359">
                  <c:v>7.8681388431478689</c:v>
                </c:pt>
                <c:pt idx="360">
                  <c:v>7.8980435212359295</c:v>
                </c:pt>
                <c:pt idx="361">
                  <c:v>7.9279482558979</c:v>
                </c:pt>
                <c:pt idx="362">
                  <c:v>7.9578530464759059</c:v>
                </c:pt>
                <c:pt idx="363">
                  <c:v>7.9877578923222288</c:v>
                </c:pt>
                <c:pt idx="364">
                  <c:v>8.0176627927991255</c:v>
                </c:pt>
                <c:pt idx="365">
                  <c:v>8.0475677472786256</c:v>
                </c:pt>
                <c:pt idx="366">
                  <c:v>8.0774727551423364</c:v>
                </c:pt>
                <c:pt idx="367">
                  <c:v>8.1073778157812839</c:v>
                </c:pt>
                <c:pt idx="368">
                  <c:v>8.1372829285957149</c:v>
                </c:pt>
                <c:pt idx="369">
                  <c:v>8.1671880929949285</c:v>
                </c:pt>
                <c:pt idx="370">
                  <c:v>8.1970933083971094</c:v>
                </c:pt>
                <c:pt idx="371">
                  <c:v>8.2269985742291603</c:v>
                </c:pt>
                <c:pt idx="372">
                  <c:v>8.2569038899265408</c:v>
                </c:pt>
                <c:pt idx="373">
                  <c:v>8.2868092549330949</c:v>
                </c:pt>
                <c:pt idx="374">
                  <c:v>8.3167146687009144</c:v>
                </c:pt>
                <c:pt idx="375">
                  <c:v>8.3466201306901802</c:v>
                </c:pt>
                <c:pt idx="376">
                  <c:v>8.3765256403690085</c:v>
                </c:pt>
                <c:pt idx="377">
                  <c:v>8.4064311972133119</c:v>
                </c:pt>
                <c:pt idx="378">
                  <c:v>8.4363368007066466</c:v>
                </c:pt>
                <c:pt idx="379">
                  <c:v>8.4662424503400953</c:v>
                </c:pt>
                <c:pt idx="380">
                  <c:v>8.4961481456121017</c:v>
                </c:pt>
                <c:pt idx="381">
                  <c:v>8.5260538860283628</c:v>
                </c:pt>
                <c:pt idx="382">
                  <c:v>8.5559596711016841</c:v>
                </c:pt>
                <c:pt idx="383">
                  <c:v>8.5858655003518596</c:v>
                </c:pt>
                <c:pt idx="384">
                  <c:v>8.6157713733055381</c:v>
                </c:pt>
                <c:pt idx="385">
                  <c:v>8.6456772894961116</c:v>
                </c:pt>
                <c:pt idx="386">
                  <c:v>8.6755832484635853</c:v>
                </c:pt>
                <c:pt idx="387">
                  <c:v>8.7054892497544785</c:v>
                </c:pt>
                <c:pt idx="388">
                  <c:v>8.735395292921682</c:v>
                </c:pt>
                <c:pt idx="389">
                  <c:v>8.7653013775243789</c:v>
                </c:pt>
                <c:pt idx="390">
                  <c:v>8.7952075031279016</c:v>
                </c:pt>
                <c:pt idx="391">
                  <c:v>8.825113669303656</c:v>
                </c:pt>
                <c:pt idx="392">
                  <c:v>8.8550198756289848</c:v>
                </c:pt>
                <c:pt idx="393">
                  <c:v>8.8849261216870961</c:v>
                </c:pt>
                <c:pt idx="394">
                  <c:v>8.9148324070669407</c:v>
                </c:pt>
                <c:pt idx="395">
                  <c:v>8.9447387313631186</c:v>
                </c:pt>
                <c:pt idx="396">
                  <c:v>8.9746450941757789</c:v>
                </c:pt>
                <c:pt idx="397">
                  <c:v>9.0045514951105492</c:v>
                </c:pt>
                <c:pt idx="398">
                  <c:v>9.0344579337783966</c:v>
                </c:pt>
                <c:pt idx="399">
                  <c:v>9.0643644097955782</c:v>
                </c:pt>
                <c:pt idx="400">
                  <c:v>9.0942709227835437</c:v>
                </c:pt>
                <c:pt idx="401">
                  <c:v>9.1241774723688263</c:v>
                </c:pt>
                <c:pt idx="402">
                  <c:v>9.154084058182983</c:v>
                </c:pt>
                <c:pt idx="403">
                  <c:v>9.1839906798624913</c:v>
                </c:pt>
                <c:pt idx="404">
                  <c:v>9.2138973370486799</c:v>
                </c:pt>
                <c:pt idx="405">
                  <c:v>9.2438040293876487</c:v>
                </c:pt>
                <c:pt idx="406">
                  <c:v>9.2737107565301837</c:v>
                </c:pt>
                <c:pt idx="407">
                  <c:v>9.3036175181316718</c:v>
                </c:pt>
                <c:pt idx="408">
                  <c:v>9.3335243138520489</c:v>
                </c:pt>
                <c:pt idx="409">
                  <c:v>9.3634311433557009</c:v>
                </c:pt>
                <c:pt idx="410">
                  <c:v>9.3933380063114047</c:v>
                </c:pt>
                <c:pt idx="411">
                  <c:v>9.4232449023922502</c:v>
                </c:pt>
                <c:pt idx="412">
                  <c:v>9.4531518312755765</c:v>
                </c:pt>
                <c:pt idx="413">
                  <c:v>9.4830587926428986</c:v>
                </c:pt>
                <c:pt idx="414">
                  <c:v>9.5129657861798087</c:v>
                </c:pt>
                <c:pt idx="415">
                  <c:v>9.5428728115760713</c:v>
                </c:pt>
                <c:pt idx="416">
                  <c:v>9.5727798685252381</c:v>
                </c:pt>
                <c:pt idx="417">
                  <c:v>9.6026869567248969</c:v>
                </c:pt>
                <c:pt idx="418">
                  <c:v>9.6325940758764741</c:v>
                </c:pt>
                <c:pt idx="419">
                  <c:v>9.662501225685137</c:v>
                </c:pt>
                <c:pt idx="420">
                  <c:v>9.6924084058599185</c:v>
                </c:pt>
                <c:pt idx="421">
                  <c:v>9.7223156161133382</c:v>
                </c:pt>
                <c:pt idx="422">
                  <c:v>9.7522228561616231</c:v>
                </c:pt>
                <c:pt idx="423">
                  <c:v>9.7821301257246187</c:v>
                </c:pt>
                <c:pt idx="424">
                  <c:v>9.8120374245255881</c:v>
                </c:pt>
                <c:pt idx="425">
                  <c:v>9.8419447522912868</c:v>
                </c:pt>
                <c:pt idx="426">
                  <c:v>9.8718521087517921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61-6247-B0B1-82BD0E88A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87152"/>
        <c:axId val="593453968"/>
      </c:scatterChart>
      <c:valAx>
        <c:axId val="592987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53968"/>
        <c:crosses val="autoZero"/>
        <c:crossBetween val="midCat"/>
      </c:valAx>
      <c:valAx>
        <c:axId val="59345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87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9240AE-C941-2C46-BD50-A84BCE9D6F8C}">
  <sheetPr codeName="Chart2"/>
  <sheetViews>
    <sheetView zoomScale="14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</xdr:row>
      <xdr:rowOff>57150</xdr:rowOff>
    </xdr:from>
    <xdr:to>
      <xdr:col>6</xdr:col>
      <xdr:colOff>723900</xdr:colOff>
      <xdr:row>28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18627C3-EAEB-F74F-BFD1-4F0D6E8ED1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4014" cy="628088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35B676-77A6-2C4A-943A-4AB9596FE96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942EA-18F3-9F4E-93F7-502B9A358862}">
  <sheetPr codeName="Sheet1"/>
  <dimension ref="A1:S488"/>
  <sheetViews>
    <sheetView tabSelected="1" topLeftCell="A287" workbookViewId="0">
      <selection activeCell="R302" sqref="P302:R302"/>
    </sheetView>
  </sheetViews>
  <sheetFormatPr baseColWidth="10" defaultRowHeight="16" x14ac:dyDescent="0.2"/>
  <sheetData>
    <row r="1" spans="1:17" x14ac:dyDescent="0.2">
      <c r="A1" t="s">
        <v>0</v>
      </c>
      <c r="B1" t="s">
        <v>7</v>
      </c>
      <c r="C1" t="s">
        <v>11</v>
      </c>
      <c r="D1" t="s">
        <v>1</v>
      </c>
      <c r="E1">
        <v>1</v>
      </c>
      <c r="G1" t="s">
        <v>2</v>
      </c>
      <c r="H1">
        <v>2</v>
      </c>
      <c r="J1" t="s">
        <v>3</v>
      </c>
      <c r="K1">
        <v>0</v>
      </c>
      <c r="M1" t="s">
        <v>8</v>
      </c>
      <c r="N1">
        <f>-p_0 + 3*p_1 -3*p_2 +p_3</f>
        <v>10</v>
      </c>
    </row>
    <row r="2" spans="1:17" x14ac:dyDescent="0.2">
      <c r="A2">
        <v>0</v>
      </c>
      <c r="B2">
        <f>bezier(p_0, p_1, p_2, p_3, A2)</f>
        <v>0</v>
      </c>
      <c r="C2">
        <f t="shared" ref="C2:C33" si="0">3*(1-A2)*(1-A2)*(p_1-p_0)+6*(1-A2)*A2*(p_2-p_1)+3*A2*A2*(p_3-p_2)</f>
        <v>6</v>
      </c>
      <c r="J2" t="s">
        <v>4</v>
      </c>
      <c r="K2">
        <f>x</f>
        <v>2</v>
      </c>
      <c r="M2" t="s">
        <v>9</v>
      </c>
      <c r="N2">
        <f>2*(p_0-2*p_1+p_2)</f>
        <v>-10</v>
      </c>
      <c r="Q2" t="s">
        <v>17</v>
      </c>
    </row>
    <row r="3" spans="1:17" x14ac:dyDescent="0.2">
      <c r="A3">
        <v>0.01</v>
      </c>
      <c r="B3">
        <f>bezier(p_0, p_1, p_2, p_3, A3)</f>
        <v>5.851E-2</v>
      </c>
      <c r="C3">
        <f t="shared" si="0"/>
        <v>5.7029999999999994</v>
      </c>
      <c r="J3" t="s">
        <v>5</v>
      </c>
      <c r="K3">
        <f>d-x</f>
        <v>-1</v>
      </c>
      <c r="M3" t="s">
        <v>10</v>
      </c>
      <c r="N3">
        <f>p_1 - p_0</f>
        <v>2</v>
      </c>
      <c r="P3" t="s">
        <v>14</v>
      </c>
      <c r="Q3" t="s">
        <v>13</v>
      </c>
    </row>
    <row r="4" spans="1:17" x14ac:dyDescent="0.2">
      <c r="A4">
        <v>0.02</v>
      </c>
      <c r="B4">
        <f>bezier(p_0, p_1, p_2, p_3, A4)</f>
        <v>0.11407999999999999</v>
      </c>
      <c r="C4">
        <f t="shared" si="0"/>
        <v>5.411999999999999</v>
      </c>
      <c r="J4" t="s">
        <v>6</v>
      </c>
      <c r="K4">
        <f>d</f>
        <v>1</v>
      </c>
      <c r="M4" t="s">
        <v>0</v>
      </c>
      <c r="N4">
        <f>extremeT(d, x)</f>
        <v>0.29708629022101118</v>
      </c>
      <c r="P4" t="s">
        <v>15</v>
      </c>
      <c r="Q4" t="s">
        <v>16</v>
      </c>
    </row>
    <row r="5" spans="1:17" x14ac:dyDescent="0.2">
      <c r="A5">
        <v>0.03</v>
      </c>
      <c r="B5">
        <f>bezier(p_0, p_1, p_2, p_3, A5)</f>
        <v>0.16677</v>
      </c>
      <c r="C5">
        <f t="shared" si="0"/>
        <v>5.1270000000000007</v>
      </c>
    </row>
    <row r="6" spans="1:17" x14ac:dyDescent="0.2">
      <c r="A6">
        <v>0.04</v>
      </c>
      <c r="B6">
        <f>bezier(p_0, p_1, p_2, p_3, A6)</f>
        <v>0.21664</v>
      </c>
      <c r="C6">
        <f t="shared" si="0"/>
        <v>4.847999999999999</v>
      </c>
    </row>
    <row r="7" spans="1:17" x14ac:dyDescent="0.2">
      <c r="A7">
        <v>0.05</v>
      </c>
      <c r="B7">
        <f>bezier(p_0, p_1, p_2, p_3, A7)</f>
        <v>0.26374999999999998</v>
      </c>
      <c r="C7">
        <f t="shared" si="0"/>
        <v>4.5749999999999984</v>
      </c>
    </row>
    <row r="8" spans="1:17" x14ac:dyDescent="0.2">
      <c r="A8">
        <v>0.06</v>
      </c>
      <c r="B8">
        <f>bezier(p_0, p_1, p_2, p_3, A8)</f>
        <v>0.30815999999999999</v>
      </c>
      <c r="C8">
        <f t="shared" si="0"/>
        <v>4.3079999999999998</v>
      </c>
      <c r="M8" t="s">
        <v>2</v>
      </c>
      <c r="N8" t="s">
        <v>7</v>
      </c>
    </row>
    <row r="9" spans="1:17" x14ac:dyDescent="0.2">
      <c r="A9">
        <v>7.0000000000000007E-2</v>
      </c>
      <c r="B9">
        <f>bezier(p_0, p_1, p_2, p_3, A9)</f>
        <v>0.34993000000000002</v>
      </c>
      <c r="C9">
        <f t="shared" si="0"/>
        <v>4.0469999999999997</v>
      </c>
      <c r="L9" t="s">
        <v>12</v>
      </c>
      <c r="M9">
        <v>-10</v>
      </c>
      <c r="N9">
        <f>extremePos(1, M9)</f>
        <v>-0.24136009027028571</v>
      </c>
      <c r="P9">
        <v>1</v>
      </c>
      <c r="Q9">
        <f>extremePos(1, P9)</f>
        <v>0.5</v>
      </c>
    </row>
    <row r="10" spans="1:17" x14ac:dyDescent="0.2">
      <c r="A10">
        <v>0.08</v>
      </c>
      <c r="B10">
        <f>bezier(p_0, p_1, p_2, p_3, A10)</f>
        <v>0.38912000000000002</v>
      </c>
      <c r="C10">
        <f t="shared" si="0"/>
        <v>3.7920000000000003</v>
      </c>
      <c r="M10">
        <v>-9.9</v>
      </c>
      <c r="N10">
        <f>extremePos(1, M10)</f>
        <v>-0.234535154529945</v>
      </c>
      <c r="P10">
        <f>P9+0.01</f>
        <v>1.01</v>
      </c>
      <c r="Q10">
        <f t="shared" ref="Q10:Q73" si="1">extremePos(1, P10)</f>
        <v>0.50138360624014799</v>
      </c>
    </row>
    <row r="11" spans="1:17" x14ac:dyDescent="0.2">
      <c r="A11">
        <v>0.09</v>
      </c>
      <c r="B11">
        <f>bezier(p_0, p_1, p_2, p_3, A11)</f>
        <v>0.42579</v>
      </c>
      <c r="C11">
        <f t="shared" si="0"/>
        <v>3.5430000000000006</v>
      </c>
      <c r="M11">
        <v>-9.8000000000000007</v>
      </c>
      <c r="N11">
        <f>extremePos(1, M11)</f>
        <v>-0.22771017695932771</v>
      </c>
      <c r="P11">
        <f t="shared" ref="P11:P74" si="2">P10+0.01</f>
        <v>1.02</v>
      </c>
      <c r="Q11">
        <f t="shared" si="1"/>
        <v>0.50288639392531742</v>
      </c>
    </row>
    <row r="12" spans="1:17" x14ac:dyDescent="0.2">
      <c r="A12">
        <v>0.1</v>
      </c>
      <c r="B12">
        <f>bezier(p_0, p_1, p_2, p_3, A12)</f>
        <v>0.46</v>
      </c>
      <c r="C12">
        <f t="shared" si="0"/>
        <v>3.3000000000000003</v>
      </c>
      <c r="M12">
        <v>-9.6999999999999993</v>
      </c>
      <c r="N12">
        <f>extremePos(1, M12)</f>
        <v>-0.22088515634790795</v>
      </c>
      <c r="P12">
        <f t="shared" si="2"/>
        <v>1.03</v>
      </c>
      <c r="Q12">
        <f t="shared" si="1"/>
        <v>0.50447043881844955</v>
      </c>
    </row>
    <row r="13" spans="1:17" x14ac:dyDescent="0.2">
      <c r="A13">
        <v>0.11</v>
      </c>
      <c r="B13">
        <f>bezier(p_0, p_1, p_2, p_3, A13)</f>
        <v>0.49181000000000002</v>
      </c>
      <c r="C13">
        <f t="shared" si="0"/>
        <v>3.0630000000000002</v>
      </c>
      <c r="M13">
        <v>-9.6</v>
      </c>
      <c r="N13">
        <f>extremePos(1, M13)</f>
        <v>-0.21406009143799398</v>
      </c>
      <c r="P13">
        <f t="shared" si="2"/>
        <v>1.04</v>
      </c>
      <c r="Q13">
        <f t="shared" si="1"/>
        <v>0.50612138083964076</v>
      </c>
    </row>
    <row r="14" spans="1:17" x14ac:dyDescent="0.2">
      <c r="A14">
        <v>0.12</v>
      </c>
      <c r="B14">
        <f>bezier(p_0, p_1, p_2, p_3, A14)</f>
        <v>0.52127999999999985</v>
      </c>
      <c r="C14">
        <f t="shared" si="0"/>
        <v>2.8319999999999994</v>
      </c>
      <c r="M14">
        <v>-9.5</v>
      </c>
      <c r="N14">
        <f>extremePos(1, M14)</f>
        <v>-0.20723498092240256</v>
      </c>
      <c r="P14">
        <f t="shared" si="2"/>
        <v>1.05</v>
      </c>
      <c r="Q14">
        <f t="shared" si="1"/>
        <v>0.50783048152617416</v>
      </c>
    </row>
    <row r="15" spans="1:17" x14ac:dyDescent="0.2">
      <c r="A15">
        <v>0.13</v>
      </c>
      <c r="B15">
        <f>bezier(p_0, p_1, p_2, p_3, A15)</f>
        <v>0.54847000000000001</v>
      </c>
      <c r="C15">
        <f t="shared" si="0"/>
        <v>2.6069999999999993</v>
      </c>
      <c r="M15">
        <v>-9.4</v>
      </c>
      <c r="N15">
        <f>extremePos(1, M15)</f>
        <v>-0.20040982344200886</v>
      </c>
      <c r="P15">
        <f t="shared" si="2"/>
        <v>1.06</v>
      </c>
      <c r="Q15">
        <f t="shared" si="1"/>
        <v>0.50959155535281009</v>
      </c>
    </row>
    <row r="16" spans="1:17" x14ac:dyDescent="0.2">
      <c r="A16">
        <v>0.14000000000000001</v>
      </c>
      <c r="B16">
        <f>bezier(p_0, p_1, p_2, p_3, A16)</f>
        <v>0.57343999999999995</v>
      </c>
      <c r="C16">
        <f t="shared" si="0"/>
        <v>2.3879999999999995</v>
      </c>
      <c r="M16">
        <v>-9.3000000000000007</v>
      </c>
      <c r="N16">
        <f>extremePos(1, M16)</f>
        <v>-0.19358461758313172</v>
      </c>
      <c r="P16">
        <f t="shared" si="2"/>
        <v>1.07</v>
      </c>
      <c r="Q16">
        <f t="shared" si="1"/>
        <v>0.51139985587763492</v>
      </c>
    </row>
    <row r="17" spans="1:17" x14ac:dyDescent="0.2">
      <c r="A17">
        <v>0.15</v>
      </c>
      <c r="B17">
        <f>bezier(p_0, p_1, p_2, p_3, A17)</f>
        <v>0.59625000000000006</v>
      </c>
      <c r="C17">
        <f t="shared" si="0"/>
        <v>2.1749999999999998</v>
      </c>
      <c r="M17">
        <v>-9.1999999999999993</v>
      </c>
      <c r="N17">
        <f>extremePos(1, M17)</f>
        <v>-0.1867593618747736</v>
      </c>
      <c r="P17">
        <f t="shared" si="2"/>
        <v>1.08</v>
      </c>
      <c r="Q17">
        <f t="shared" si="1"/>
        <v>0.51325155334035155</v>
      </c>
    </row>
    <row r="18" spans="1:17" x14ac:dyDescent="0.2">
      <c r="A18">
        <v>0.16</v>
      </c>
      <c r="B18">
        <f>bezier(p_0, p_1, p_2, p_3, A18)</f>
        <v>0.61695999999999995</v>
      </c>
      <c r="C18">
        <f t="shared" si="0"/>
        <v>1.968</v>
      </c>
      <c r="M18">
        <v>-9.1</v>
      </c>
      <c r="N18">
        <f>extremePos(1, M18)</f>
        <v>-0.17993405478568336</v>
      </c>
      <c r="P18">
        <f t="shared" si="2"/>
        <v>1.0900000000000001</v>
      </c>
      <c r="Q18">
        <f t="shared" si="1"/>
        <v>0.51514345065237654</v>
      </c>
    </row>
    <row r="19" spans="1:17" x14ac:dyDescent="0.2">
      <c r="A19">
        <v>0.17</v>
      </c>
      <c r="B19">
        <f>bezier(p_0, p_1, p_2, p_3, A19)</f>
        <v>0.63562999999999992</v>
      </c>
      <c r="C19">
        <f t="shared" si="0"/>
        <v>1.766999999999999</v>
      </c>
      <c r="M19">
        <v>-9</v>
      </c>
      <c r="N19">
        <f>extremePos(1, M19)</f>
        <v>-0.1731086947212388</v>
      </c>
      <c r="P19">
        <f t="shared" si="2"/>
        <v>1.1000000000000001</v>
      </c>
      <c r="Q19">
        <f t="shared" si="1"/>
        <v>0.51707281298158936</v>
      </c>
    </row>
    <row r="20" spans="1:17" x14ac:dyDescent="0.2">
      <c r="A20">
        <v>0.18</v>
      </c>
      <c r="B20">
        <f>bezier(p_0, p_1, p_2, p_3, A20)</f>
        <v>0.65232000000000001</v>
      </c>
      <c r="C20">
        <f t="shared" si="0"/>
        <v>1.572000000000001</v>
      </c>
      <c r="M20">
        <v>-8.9</v>
      </c>
      <c r="N20">
        <f>extremePos(1, M20)</f>
        <v>-0.16628328002013415</v>
      </c>
      <c r="P20">
        <f t="shared" si="2"/>
        <v>1.1100000000000001</v>
      </c>
      <c r="Q20">
        <f t="shared" si="1"/>
        <v>0.51903725793032918</v>
      </c>
    </row>
    <row r="21" spans="1:17" x14ac:dyDescent="0.2">
      <c r="A21">
        <v>0.19</v>
      </c>
      <c r="B21">
        <f>bezier(p_0, p_1, p_2, p_3, A21)</f>
        <v>0.66709000000000007</v>
      </c>
      <c r="C21">
        <f t="shared" si="0"/>
        <v>1.383</v>
      </c>
      <c r="M21">
        <v>-8.8000000000000007</v>
      </c>
      <c r="N21">
        <f>extremePos(1, M21)</f>
        <v>-0.15945780895085981</v>
      </c>
      <c r="P21">
        <f t="shared" si="2"/>
        <v>1.1200000000000001</v>
      </c>
      <c r="Q21">
        <f t="shared" si="1"/>
        <v>0.52103468080471205</v>
      </c>
    </row>
    <row r="22" spans="1:17" x14ac:dyDescent="0.2">
      <c r="A22">
        <v>0.2</v>
      </c>
      <c r="B22">
        <f>bezier(p_0, p_1, p_2, p_3, A22)</f>
        <v>0.68000000000000016</v>
      </c>
      <c r="C22">
        <f t="shared" si="0"/>
        <v>1.2</v>
      </c>
      <c r="M22">
        <v>-8.6999999999999993</v>
      </c>
      <c r="N22">
        <f>extremePos(1, M22)</f>
        <v>-0.15263227970795024</v>
      </c>
      <c r="P22">
        <f t="shared" si="2"/>
        <v>1.1300000000000001</v>
      </c>
      <c r="Q22">
        <f t="shared" si="1"/>
        <v>0.52306320152859187</v>
      </c>
    </row>
    <row r="23" spans="1:17" x14ac:dyDescent="0.2">
      <c r="A23">
        <v>0.21</v>
      </c>
      <c r="B23">
        <f>bezier(p_0, p_1, p_2, p_3, A23)</f>
        <v>0.69111</v>
      </c>
      <c r="C23">
        <f t="shared" si="0"/>
        <v>1.0229999999999999</v>
      </c>
      <c r="M23">
        <v>-8.6</v>
      </c>
      <c r="N23">
        <f>extremePos(1, M23)</f>
        <v>-0.14580669040799421</v>
      </c>
      <c r="P23">
        <f t="shared" si="2"/>
        <v>1.1400000000000001</v>
      </c>
      <c r="Q23">
        <f t="shared" si="1"/>
        <v>0.52512112559401014</v>
      </c>
    </row>
    <row r="24" spans="1:17" x14ac:dyDescent="0.2">
      <c r="A24">
        <v>0.22</v>
      </c>
      <c r="B24">
        <f>bezier(p_0, p_1, p_2, p_3, A24)</f>
        <v>0.70047999999999999</v>
      </c>
      <c r="C24">
        <f t="shared" si="0"/>
        <v>0.85200000000000031</v>
      </c>
      <c r="M24">
        <v>-8.5000000000000107</v>
      </c>
      <c r="N24">
        <f>extremePos(1, M24)</f>
        <v>-0.13898103908538273</v>
      </c>
      <c r="P24">
        <f t="shared" si="2"/>
        <v>1.1500000000000001</v>
      </c>
      <c r="Q24">
        <f t="shared" si="1"/>
        <v>0.52720691449439827</v>
      </c>
    </row>
    <row r="25" spans="1:17" x14ac:dyDescent="0.2">
      <c r="A25">
        <v>0.23</v>
      </c>
      <c r="B25">
        <f>bezier(p_0, p_1, p_2, p_3, A25)</f>
        <v>0.70817000000000019</v>
      </c>
      <c r="C25">
        <f t="shared" si="0"/>
        <v>0.68700000000000017</v>
      </c>
      <c r="M25">
        <v>-8.4000000000000092</v>
      </c>
      <c r="N25">
        <f>extremePos(1, M25)</f>
        <v>-0.13215532368776817</v>
      </c>
      <c r="P25">
        <f t="shared" si="2"/>
        <v>1.1600000000000001</v>
      </c>
      <c r="Q25">
        <f t="shared" si="1"/>
        <v>0.529319162786553</v>
      </c>
    </row>
    <row r="26" spans="1:17" x14ac:dyDescent="0.2">
      <c r="A26">
        <v>0.24</v>
      </c>
      <c r="B26">
        <f>bezier(p_0, p_1, p_2, p_3, A26)</f>
        <v>0.71423999999999999</v>
      </c>
      <c r="C26">
        <f t="shared" si="0"/>
        <v>0.52800000000000025</v>
      </c>
      <c r="M26">
        <v>-8.3000000000000096</v>
      </c>
      <c r="N26">
        <f>extremePos(1, M26)</f>
        <v>-0.1253295420712397</v>
      </c>
      <c r="P26">
        <f t="shared" si="2"/>
        <v>1.1700000000000002</v>
      </c>
      <c r="Q26">
        <f t="shared" si="1"/>
        <v>0.53145657992249651</v>
      </c>
    </row>
    <row r="27" spans="1:17" x14ac:dyDescent="0.2">
      <c r="A27">
        <v>0.25</v>
      </c>
      <c r="B27">
        <f>bezier(p_0, p_1, p_2, p_3, A27)</f>
        <v>0.71875</v>
      </c>
      <c r="C27">
        <f t="shared" si="0"/>
        <v>0.375</v>
      </c>
      <c r="M27">
        <v>-8.2000000000000099</v>
      </c>
      <c r="N27">
        <f>extremePos(1, M27)</f>
        <v>-0.11850369199514699</v>
      </c>
      <c r="P27">
        <f t="shared" si="2"/>
        <v>1.1800000000000002</v>
      </c>
      <c r="Q27">
        <f t="shared" si="1"/>
        <v>0.53361797560020696</v>
      </c>
    </row>
    <row r="28" spans="1:17" x14ac:dyDescent="0.2">
      <c r="A28">
        <v>0.26</v>
      </c>
      <c r="B28">
        <f>bezier(p_0, p_1, p_2, p_3, A28)</f>
        <v>0.72175999999999996</v>
      </c>
      <c r="C28">
        <f t="shared" si="0"/>
        <v>0.22800000000000004</v>
      </c>
      <c r="M28">
        <v>-8.1000000000000103</v>
      </c>
      <c r="N28">
        <f>extremePos(1, M28)</f>
        <v>-0.1116777711165815</v>
      </c>
      <c r="P28">
        <f t="shared" si="2"/>
        <v>1.1900000000000002</v>
      </c>
      <c r="Q28">
        <f t="shared" si="1"/>
        <v>0.5358022477671992</v>
      </c>
    </row>
    <row r="29" spans="1:17" x14ac:dyDescent="0.2">
      <c r="A29">
        <v>0.27</v>
      </c>
      <c r="B29">
        <f>bezier(p_0, p_1, p_2, p_3, A29)</f>
        <v>0.72333000000000003</v>
      </c>
      <c r="C29">
        <f t="shared" si="0"/>
        <v>8.6999999999999578E-2</v>
      </c>
      <c r="M29">
        <v>-8.0000000000000107</v>
      </c>
      <c r="N29">
        <f>extremePos(1, M29)</f>
        <v>-0.10485177698448389</v>
      </c>
      <c r="P29">
        <f t="shared" si="2"/>
        <v>1.2000000000000002</v>
      </c>
      <c r="Q29">
        <f t="shared" si="1"/>
        <v>0.53800837266252521</v>
      </c>
    </row>
    <row r="30" spans="1:17" x14ac:dyDescent="0.2">
      <c r="A30">
        <v>0.28000000000000003</v>
      </c>
      <c r="B30">
        <f>bezier(p_0, p_1, p_2, p_3, A30)</f>
        <v>0.72352000000000005</v>
      </c>
      <c r="C30">
        <f t="shared" si="0"/>
        <v>-4.8000000000000542E-2</v>
      </c>
      <c r="M30">
        <v>-7.9000000000000101</v>
      </c>
      <c r="N30">
        <f>extremePos(1, M30)</f>
        <v>-9.8025707033319698E-2</v>
      </c>
      <c r="P30">
        <f t="shared" si="2"/>
        <v>1.2100000000000002</v>
      </c>
      <c r="Q30">
        <f t="shared" si="1"/>
        <v>0.54023539645170615</v>
      </c>
    </row>
    <row r="31" spans="1:17" x14ac:dyDescent="0.2">
      <c r="A31">
        <v>0.28999999999999998</v>
      </c>
      <c r="B31">
        <f>bezier(p_0, p_1, p_2, p_3, A31)</f>
        <v>0.72238999999999975</v>
      </c>
      <c r="C31">
        <f t="shared" si="0"/>
        <v>-0.17700000000000005</v>
      </c>
      <c r="M31">
        <v>-7.8000000000000096</v>
      </c>
      <c r="N31">
        <f>extremePos(1, M31)</f>
        <v>-9.1199558576319228E-2</v>
      </c>
      <c r="P31">
        <f t="shared" si="2"/>
        <v>1.2200000000000002</v>
      </c>
      <c r="Q31">
        <f t="shared" si="1"/>
        <v>0.54248242812531433</v>
      </c>
    </row>
    <row r="32" spans="1:17" x14ac:dyDescent="0.2">
      <c r="A32">
        <v>0.3</v>
      </c>
      <c r="B32">
        <f>bezier(p_0, p_1, p_2, p_3, A32)</f>
        <v>0.71999999999999986</v>
      </c>
      <c r="C32">
        <f t="shared" si="0"/>
        <v>-0.29999999999999993</v>
      </c>
      <c r="M32">
        <v>-7.7000000000000099</v>
      </c>
      <c r="N32">
        <f>extremePos(1, M32)</f>
        <v>-8.4373328798234448E-2</v>
      </c>
      <c r="P32">
        <f t="shared" si="2"/>
        <v>1.2300000000000002</v>
      </c>
      <c r="Q32">
        <f t="shared" si="1"/>
        <v>0.54474863341358593</v>
      </c>
    </row>
    <row r="33" spans="1:17" x14ac:dyDescent="0.2">
      <c r="A33">
        <v>0.31</v>
      </c>
      <c r="B33">
        <f>bezier(p_0, p_1, p_2, p_3, A33)</f>
        <v>0.71640999999999988</v>
      </c>
      <c r="C33">
        <f t="shared" si="0"/>
        <v>-0.41700000000000026</v>
      </c>
      <c r="M33">
        <v>-7.6000000000000103</v>
      </c>
      <c r="N33">
        <f>extremePos(1, M33)</f>
        <v>-7.7547014747560761E-2</v>
      </c>
      <c r="P33">
        <f t="shared" si="2"/>
        <v>1.2400000000000002</v>
      </c>
      <c r="Q33">
        <f t="shared" si="1"/>
        <v>0.5470332295279382</v>
      </c>
    </row>
    <row r="34" spans="1:17" x14ac:dyDescent="0.2">
      <c r="A34">
        <v>0.32</v>
      </c>
      <c r="B34">
        <f>bezier(p_0, p_1, p_2, p_3, A34)</f>
        <v>0.71167999999999998</v>
      </c>
      <c r="C34">
        <f t="shared" ref="C34:C65" si="3">3*(1-A34)*(1-A34)*(p_1-p_0)+6*(1-A34)*A34*(p_2-p_1)+3*A34*A34*(p_3-p_2)</f>
        <v>-0.52800000000000036</v>
      </c>
      <c r="M34">
        <v>-7.5000000000000098</v>
      </c>
      <c r="N34">
        <f>extremePos(1, M34)</f>
        <v>-7.0720613328189907E-2</v>
      </c>
      <c r="P34">
        <f t="shared" si="2"/>
        <v>1.2500000000000002</v>
      </c>
      <c r="Q34">
        <f t="shared" si="1"/>
        <v>0.5493354805828915</v>
      </c>
    </row>
    <row r="35" spans="1:17" x14ac:dyDescent="0.2">
      <c r="A35">
        <v>0.33</v>
      </c>
      <c r="B35">
        <f>bezier(p_0, p_1, p_2, p_3, A35)</f>
        <v>0.70586999999999989</v>
      </c>
      <c r="C35">
        <f t="shared" si="3"/>
        <v>-0.63300000000000045</v>
      </c>
      <c r="M35">
        <v>-7.4000000000000101</v>
      </c>
      <c r="N35">
        <f>extremePos(1, M35)</f>
        <v>-6.3894121290451578E-2</v>
      </c>
      <c r="P35">
        <f t="shared" si="2"/>
        <v>1.2600000000000002</v>
      </c>
      <c r="Q35">
        <f t="shared" si="1"/>
        <v>0.55165469358345398</v>
      </c>
    </row>
    <row r="36" spans="1:17" x14ac:dyDescent="0.2">
      <c r="A36">
        <v>0.34</v>
      </c>
      <c r="B36">
        <f>bezier(p_0, p_1, p_2, p_3, A36)</f>
        <v>0.69903999999999988</v>
      </c>
      <c r="C36">
        <f t="shared" si="3"/>
        <v>-0.73200000000000054</v>
      </c>
      <c r="M36">
        <v>-7.3000000000000096</v>
      </c>
      <c r="N36">
        <f>extremePos(1, M36)</f>
        <v>-5.7067535221456023E-2</v>
      </c>
      <c r="P36">
        <f t="shared" si="2"/>
        <v>1.2700000000000002</v>
      </c>
      <c r="Q36">
        <f t="shared" si="1"/>
        <v>0.55399021488672029</v>
      </c>
    </row>
    <row r="37" spans="1:17" x14ac:dyDescent="0.2">
      <c r="A37">
        <v>0.35</v>
      </c>
      <c r="B37">
        <f>bezier(p_0, p_1, p_2, p_3, A37)</f>
        <v>0.69125000000000003</v>
      </c>
      <c r="C37">
        <f t="shared" si="3"/>
        <v>-0.82499999999999973</v>
      </c>
      <c r="M37">
        <v>-7.2000000000000099</v>
      </c>
      <c r="N37">
        <f>extremePos(1, M37)</f>
        <v>-5.0240851534736564E-2</v>
      </c>
      <c r="P37">
        <f t="shared" si="2"/>
        <v>1.2800000000000002</v>
      </c>
      <c r="Q37">
        <f t="shared" si="1"/>
        <v>0.55634142706446488</v>
      </c>
    </row>
    <row r="38" spans="1:17" x14ac:dyDescent="0.2">
      <c r="A38">
        <v>0.36</v>
      </c>
      <c r="B38">
        <f>bezier(p_0, p_1, p_2, p_3, A38)</f>
        <v>0.68255999999999994</v>
      </c>
      <c r="C38">
        <f t="shared" si="3"/>
        <v>-0.91199999999999992</v>
      </c>
      <c r="M38">
        <v>-7.1000000000000103</v>
      </c>
      <c r="N38">
        <f>extremePos(1, M38)</f>
        <v>-4.3414066459050771E-2</v>
      </c>
      <c r="P38">
        <f t="shared" si="2"/>
        <v>1.2900000000000003</v>
      </c>
      <c r="Q38">
        <f t="shared" si="1"/>
        <v>0.55870774610739138</v>
      </c>
    </row>
    <row r="39" spans="1:17" x14ac:dyDescent="0.2">
      <c r="A39">
        <v>0.37</v>
      </c>
      <c r="B39">
        <f>bezier(p_0, p_1, p_2, p_3, A39)</f>
        <v>0.67303000000000002</v>
      </c>
      <c r="C39">
        <f t="shared" si="3"/>
        <v>-0.9930000000000001</v>
      </c>
      <c r="M39">
        <v>-7.0000000000000098</v>
      </c>
      <c r="N39">
        <f>extremePos(1, M39)</f>
        <v>-3.658717602633188E-2</v>
      </c>
      <c r="P39">
        <f t="shared" si="2"/>
        <v>1.3000000000000003</v>
      </c>
      <c r="Q39">
        <f t="shared" si="1"/>
        <v>0.56108861892250617</v>
      </c>
    </row>
    <row r="40" spans="1:17" x14ac:dyDescent="0.2">
      <c r="A40">
        <v>0.38</v>
      </c>
      <c r="B40">
        <f>bezier(p_0, p_1, p_2, p_3, A40)</f>
        <v>0.66271999999999998</v>
      </c>
      <c r="C40">
        <f t="shared" si="3"/>
        <v>-1.0680000000000001</v>
      </c>
      <c r="M40">
        <v>-6.9000000000000101</v>
      </c>
      <c r="N40">
        <f>extremePos(1, M40)</f>
        <v>-2.976017605868253E-2</v>
      </c>
      <c r="P40">
        <f t="shared" si="2"/>
        <v>1.3100000000000003</v>
      </c>
      <c r="Q40">
        <f t="shared" si="1"/>
        <v>0.56348352108359256</v>
      </c>
    </row>
    <row r="41" spans="1:17" x14ac:dyDescent="0.2">
      <c r="A41">
        <v>0.39</v>
      </c>
      <c r="B41">
        <f>bezier(p_0, p_1, p_2, p_3, A41)</f>
        <v>0.6516900000000001</v>
      </c>
      <c r="C41">
        <f t="shared" si="3"/>
        <v>-1.1369999999999996</v>
      </c>
      <c r="M41">
        <v>-6.8000000000000096</v>
      </c>
      <c r="N41">
        <f>extremePos(1, M41)</f>
        <v>-2.2933062154302908E-2</v>
      </c>
      <c r="P41">
        <f t="shared" si="2"/>
        <v>1.3200000000000003</v>
      </c>
      <c r="Q41">
        <f t="shared" si="1"/>
        <v>0.56589195480150623</v>
      </c>
    </row>
    <row r="42" spans="1:17" x14ac:dyDescent="0.2">
      <c r="A42">
        <v>0.4</v>
      </c>
      <c r="B42">
        <f>bezier(p_0, p_1, p_2, p_3, A42)</f>
        <v>0.6399999999999999</v>
      </c>
      <c r="C42">
        <f t="shared" si="3"/>
        <v>-1.2000000000000004</v>
      </c>
      <c r="M42">
        <v>-6.7000000000000099</v>
      </c>
      <c r="N42">
        <f>extremePos(1, M42)</f>
        <v>-1.6105829672294014E-2</v>
      </c>
      <c r="P42">
        <f t="shared" si="2"/>
        <v>1.3300000000000003</v>
      </c>
      <c r="Q42">
        <f t="shared" si="1"/>
        <v>0.56831344708643172</v>
      </c>
    </row>
    <row r="43" spans="1:17" x14ac:dyDescent="0.2">
      <c r="A43">
        <v>0.41</v>
      </c>
      <c r="B43">
        <f>bezier(p_0, p_1, p_2, p_3, A43)</f>
        <v>0.62771000000000021</v>
      </c>
      <c r="C43">
        <f t="shared" si="3"/>
        <v>-1.2570000000000001</v>
      </c>
      <c r="M43">
        <v>-6.6000000000000103</v>
      </c>
      <c r="N43">
        <f>extremePos(1, M43)</f>
        <v>-9.2784737162006081E-3</v>
      </c>
      <c r="P43">
        <f t="shared" si="2"/>
        <v>1.3400000000000003</v>
      </c>
      <c r="Q43">
        <f t="shared" si="1"/>
        <v>0.57074754807861017</v>
      </c>
    </row>
    <row r="44" spans="1:17" x14ac:dyDescent="0.2">
      <c r="A44">
        <v>0.42</v>
      </c>
      <c r="B44">
        <f>bezier(p_0, p_1, p_2, p_3, A44)</f>
        <v>0.61488000000000009</v>
      </c>
      <c r="C44">
        <f t="shared" si="3"/>
        <v>-1.3079999999999996</v>
      </c>
      <c r="M44">
        <v>-6.5000000000000098</v>
      </c>
      <c r="N44">
        <f>extremePos(1, M44)</f>
        <v>-2.4509891161592634E-3</v>
      </c>
      <c r="P44">
        <f t="shared" si="2"/>
        <v>1.3500000000000003</v>
      </c>
      <c r="Q44">
        <f t="shared" si="1"/>
        <v>0.57319382952760589</v>
      </c>
    </row>
    <row r="45" spans="1:17" x14ac:dyDescent="0.2">
      <c r="A45">
        <v>0.43</v>
      </c>
      <c r="B45">
        <f>bezier(p_0, p_1, p_2, p_3, A45)</f>
        <v>0.60157000000000016</v>
      </c>
      <c r="C45">
        <f t="shared" si="3"/>
        <v>-1.3529999999999998</v>
      </c>
      <c r="M45">
        <v>-6.4000000000000101</v>
      </c>
      <c r="N45">
        <f>extremePos(1, M45)</f>
        <v>4.376629590445491E-3</v>
      </c>
      <c r="P45">
        <f t="shared" si="2"/>
        <v>1.3600000000000003</v>
      </c>
      <c r="Q45">
        <f t="shared" si="1"/>
        <v>0.57565188340310802</v>
      </c>
    </row>
    <row r="46" spans="1:17" x14ac:dyDescent="0.2">
      <c r="A46">
        <v>0.44</v>
      </c>
      <c r="B46">
        <f>bezier(p_0, p_1, p_2, p_3, A46)</f>
        <v>0.58784000000000025</v>
      </c>
      <c r="C46">
        <f t="shared" si="3"/>
        <v>-1.3919999999999995</v>
      </c>
      <c r="M46">
        <v>-6.3000000000000096</v>
      </c>
      <c r="N46">
        <f>extremePos(1, M46)</f>
        <v>1.1204388180013902E-2</v>
      </c>
      <c r="P46">
        <f t="shared" si="2"/>
        <v>1.3700000000000003</v>
      </c>
      <c r="Q46">
        <f t="shared" si="1"/>
        <v>0.5781213206226673</v>
      </c>
    </row>
    <row r="47" spans="1:17" x14ac:dyDescent="0.2">
      <c r="A47">
        <v>0.45</v>
      </c>
      <c r="B47">
        <f>bezier(p_0, p_1, p_2, p_3, A47)</f>
        <v>0.5737500000000002</v>
      </c>
      <c r="C47">
        <f t="shared" si="3"/>
        <v>-1.4249999999999996</v>
      </c>
      <c r="M47">
        <v>-6.2000000000000099</v>
      </c>
      <c r="N47">
        <f>extremePos(1, M47)</f>
        <v>1.8032292765591817E-2</v>
      </c>
      <c r="P47">
        <f t="shared" si="2"/>
        <v>1.3800000000000003</v>
      </c>
      <c r="Q47">
        <f t="shared" si="1"/>
        <v>0.58060176988378398</v>
      </c>
    </row>
    <row r="48" spans="1:17" x14ac:dyDescent="0.2">
      <c r="A48">
        <v>0.46</v>
      </c>
      <c r="B48">
        <f>bezier(p_0, p_1, p_2, p_3, A48)</f>
        <v>0.55936000000000019</v>
      </c>
      <c r="C48">
        <f t="shared" si="3"/>
        <v>-1.4520000000000004</v>
      </c>
      <c r="M48">
        <v>-6.1000000000000103</v>
      </c>
      <c r="N48">
        <f>extremePos(1, M48)</f>
        <v>2.4860349821759886E-2</v>
      </c>
      <c r="P48">
        <f t="shared" si="2"/>
        <v>1.3900000000000003</v>
      </c>
      <c r="Q48">
        <f t="shared" si="1"/>
        <v>0.58309287658942655</v>
      </c>
    </row>
    <row r="49" spans="1:17" x14ac:dyDescent="0.2">
      <c r="A49">
        <v>0.47</v>
      </c>
      <c r="B49">
        <f>bezier(p_0, p_1, p_2, p_3, A49)</f>
        <v>0.54473000000000005</v>
      </c>
      <c r="C49">
        <f t="shared" si="3"/>
        <v>-1.4729999999999992</v>
      </c>
      <c r="M49">
        <v>-6.0000000000000098</v>
      </c>
      <c r="N49">
        <f>extremePos(1, M49)</f>
        <v>3.1688566211772518E-2</v>
      </c>
      <c r="P49">
        <f t="shared" si="2"/>
        <v>1.4000000000000004</v>
      </c>
      <c r="Q49">
        <f t="shared" si="1"/>
        <v>0.58559430185749051</v>
      </c>
    </row>
    <row r="50" spans="1:17" x14ac:dyDescent="0.2">
      <c r="A50">
        <v>0.48</v>
      </c>
      <c r="B50">
        <f>bezier(p_0, p_1, p_2, p_3, A50)</f>
        <v>0.52991999999999995</v>
      </c>
      <c r="C50">
        <f t="shared" si="3"/>
        <v>-1.4880000000000002</v>
      </c>
      <c r="M50">
        <v>-5.9000000000000101</v>
      </c>
      <c r="N50">
        <f>extremePos(1, M50)</f>
        <v>3.8516949217171526E-2</v>
      </c>
      <c r="P50">
        <f t="shared" si="2"/>
        <v>1.4100000000000004</v>
      </c>
      <c r="Q50">
        <f t="shared" si="1"/>
        <v>0.58810572160588059</v>
      </c>
    </row>
    <row r="51" spans="1:17" x14ac:dyDescent="0.2">
      <c r="A51">
        <v>0.49</v>
      </c>
      <c r="B51">
        <f>bezier(p_0, p_1, p_2, p_3, A51)</f>
        <v>0.51498999999999995</v>
      </c>
      <c r="C51">
        <f t="shared" si="3"/>
        <v>-1.4970000000000008</v>
      </c>
      <c r="M51">
        <v>-5.8000000000000096</v>
      </c>
      <c r="N51">
        <f>extremePos(1, M51)</f>
        <v>4.534550657015135E-2</v>
      </c>
      <c r="P51">
        <f t="shared" si="2"/>
        <v>1.4200000000000004</v>
      </c>
      <c r="Q51">
        <f t="shared" si="1"/>
        <v>0.59062682570592906</v>
      </c>
    </row>
    <row r="52" spans="1:17" x14ac:dyDescent="0.2">
      <c r="A52">
        <v>0.5</v>
      </c>
      <c r="B52">
        <f>bezier(p_0, p_1, p_2, p_3, A52)</f>
        <v>0.5</v>
      </c>
      <c r="C52">
        <f t="shared" si="3"/>
        <v>-1.5</v>
      </c>
      <c r="M52">
        <v>-5.7000000000000197</v>
      </c>
      <c r="N52">
        <f>extremePos(1, M52)</f>
        <v>5.2174246488982057E-2</v>
      </c>
      <c r="P52">
        <f t="shared" si="2"/>
        <v>1.4300000000000004</v>
      </c>
      <c r="Q52">
        <f t="shared" si="1"/>
        <v>0.59315731719772014</v>
      </c>
    </row>
    <row r="53" spans="1:17" x14ac:dyDescent="0.2">
      <c r="A53">
        <v>0.51</v>
      </c>
      <c r="B53">
        <f>bezier(p_0, p_1, p_2, p_3, A53)</f>
        <v>0.48500999999999994</v>
      </c>
      <c r="C53">
        <f t="shared" si="3"/>
        <v>-1.4970000000000008</v>
      </c>
      <c r="M53">
        <v>-5.6000000000000201</v>
      </c>
      <c r="N53">
        <f>extremePos(1, M53)</f>
        <v>5.9003177716822286E-2</v>
      </c>
      <c r="P53">
        <f t="shared" si="2"/>
        <v>1.4400000000000004</v>
      </c>
      <c r="Q53">
        <f t="shared" si="1"/>
        <v>0.59569691156163995</v>
      </c>
    </row>
    <row r="54" spans="1:17" x14ac:dyDescent="0.2">
      <c r="A54">
        <v>0.52</v>
      </c>
      <c r="B54">
        <f>bezier(p_0, p_1, p_2, p_3, A54)</f>
        <v>0.47007999999999994</v>
      </c>
      <c r="C54">
        <f t="shared" si="3"/>
        <v>-1.4880000000000002</v>
      </c>
      <c r="M54">
        <v>-5.5000000000000204</v>
      </c>
      <c r="N54">
        <f>extremePos(1, M54)</f>
        <v>6.5832309564314961E-2</v>
      </c>
      <c r="P54">
        <f t="shared" si="2"/>
        <v>1.4500000000000004</v>
      </c>
      <c r="Q54">
        <f t="shared" si="1"/>
        <v>0.59824533604110797</v>
      </c>
    </row>
    <row r="55" spans="1:17" x14ac:dyDescent="0.2">
      <c r="A55">
        <v>0.53</v>
      </c>
      <c r="B55">
        <f>bezier(p_0, p_1, p_2, p_3, A55)</f>
        <v>0.45527000000000006</v>
      </c>
      <c r="C55">
        <f t="shared" si="3"/>
        <v>-1.4729999999999992</v>
      </c>
      <c r="M55">
        <v>-5.4000000000000199</v>
      </c>
      <c r="N55">
        <f>extremePos(1, M55)</f>
        <v>7.2661651956400286E-2</v>
      </c>
      <c r="P55">
        <f t="shared" si="2"/>
        <v>1.4600000000000004</v>
      </c>
      <c r="Q55">
        <f t="shared" si="1"/>
        <v>0.60080232901200137</v>
      </c>
    </row>
    <row r="56" spans="1:17" x14ac:dyDescent="0.2">
      <c r="A56">
        <v>0.54</v>
      </c>
      <c r="B56">
        <f>bezier(p_0, p_1, p_2, p_3, A56)</f>
        <v>0.44064000000000003</v>
      </c>
      <c r="C56">
        <f t="shared" si="3"/>
        <v>-1.4519999999999997</v>
      </c>
      <c r="M56">
        <v>-5.3000000000000203</v>
      </c>
      <c r="N56">
        <f>extremePos(1, M56)</f>
        <v>7.9491215483840971E-2</v>
      </c>
      <c r="P56">
        <f t="shared" si="2"/>
        <v>1.4700000000000004</v>
      </c>
      <c r="Q56">
        <f t="shared" si="1"/>
        <v>0.60336763939476812</v>
      </c>
    </row>
    <row r="57" spans="1:17" x14ac:dyDescent="0.2">
      <c r="A57">
        <v>0.55000000000000004</v>
      </c>
      <c r="B57">
        <f>bezier(p_0, p_1, p_2, p_3, A57)</f>
        <v>0.42625000000000007</v>
      </c>
      <c r="C57">
        <f t="shared" si="3"/>
        <v>-1.4249999999999998</v>
      </c>
      <c r="M57">
        <v>-5.2000000000000197</v>
      </c>
      <c r="N57">
        <f>extremePos(1, M57)</f>
        <v>8.6321011460024355E-2</v>
      </c>
      <c r="P57">
        <f t="shared" si="2"/>
        <v>1.4800000000000004</v>
      </c>
      <c r="Q57">
        <f t="shared" si="1"/>
        <v>0.60594102610564038</v>
      </c>
    </row>
    <row r="58" spans="1:17" x14ac:dyDescent="0.2">
      <c r="A58">
        <v>0.56000000000000005</v>
      </c>
      <c r="B58">
        <f>bezier(p_0, p_1, p_2, p_3, A58)</f>
        <v>0.41215999999999997</v>
      </c>
      <c r="C58">
        <f t="shared" si="3"/>
        <v>-1.3919999999999997</v>
      </c>
      <c r="M58">
        <v>-5.1000000000000201</v>
      </c>
      <c r="N58">
        <f>extremePos(1, M58)</f>
        <v>9.3151051983686228E-2</v>
      </c>
      <c r="P58">
        <f t="shared" si="2"/>
        <v>1.4900000000000004</v>
      </c>
      <c r="Q58">
        <f t="shared" si="1"/>
        <v>0.60852225754373068</v>
      </c>
    </row>
    <row r="59" spans="1:17" x14ac:dyDescent="0.2">
      <c r="A59">
        <v>0.56999999999999995</v>
      </c>
      <c r="B59">
        <f>bezier(p_0, p_1, p_2, p_3, A59)</f>
        <v>0.39843000000000017</v>
      </c>
      <c r="C59">
        <f t="shared" si="3"/>
        <v>-1.3529999999999998</v>
      </c>
      <c r="M59">
        <v>-5.0000000000000204</v>
      </c>
      <c r="N59">
        <f>extremePos(1, M59)</f>
        <v>9.9981350008272019E-2</v>
      </c>
      <c r="P59">
        <f t="shared" si="2"/>
        <v>1.5000000000000004</v>
      </c>
      <c r="Q59">
        <f t="shared" si="1"/>
        <v>0.61111111111111127</v>
      </c>
    </row>
    <row r="60" spans="1:17" x14ac:dyDescent="0.2">
      <c r="A60">
        <v>0.57999999999999996</v>
      </c>
      <c r="B60">
        <f>bezier(p_0, p_1, p_2, p_3, A60)</f>
        <v>0.38512000000000002</v>
      </c>
      <c r="C60">
        <f t="shared" si="3"/>
        <v>-1.3080000000000003</v>
      </c>
      <c r="M60">
        <v>-4.9000000000000199</v>
      </c>
      <c r="N60">
        <f>extremePos(1, M60)</f>
        <v>0.10681191941880197</v>
      </c>
      <c r="P60">
        <f t="shared" si="2"/>
        <v>1.5100000000000005</v>
      </c>
      <c r="Q60">
        <f t="shared" si="1"/>
        <v>0.61370737276326881</v>
      </c>
    </row>
    <row r="61" spans="1:17" x14ac:dyDescent="0.2">
      <c r="A61">
        <v>0.59</v>
      </c>
      <c r="B61">
        <f>bezier(p_0, p_1, p_2, p_3, A61)</f>
        <v>0.37229000000000018</v>
      </c>
      <c r="C61">
        <f t="shared" si="3"/>
        <v>-1.2569999999999992</v>
      </c>
      <c r="M61">
        <v>-4.8000000000000203</v>
      </c>
      <c r="N61">
        <f>extremePos(1, M61)</f>
        <v>0.11364277511717202</v>
      </c>
      <c r="P61">
        <f t="shared" si="2"/>
        <v>1.5200000000000005</v>
      </c>
      <c r="Q61">
        <f t="shared" si="1"/>
        <v>0.61631083658756758</v>
      </c>
    </row>
    <row r="62" spans="1:17" x14ac:dyDescent="0.2">
      <c r="A62">
        <v>0.6</v>
      </c>
      <c r="B62">
        <f>bezier(p_0, p_1, p_2, p_3, A62)</f>
        <v>0.36</v>
      </c>
      <c r="C62">
        <f t="shared" si="3"/>
        <v>-1.2000000000000006</v>
      </c>
      <c r="M62">
        <v>-4.7000000000000197</v>
      </c>
      <c r="N62">
        <f>extremePos(1, M62)</f>
        <v>0.12047393311700838</v>
      </c>
      <c r="P62">
        <f t="shared" si="2"/>
        <v>1.5300000000000005</v>
      </c>
      <c r="Q62">
        <f t="shared" si="1"/>
        <v>0.61892130440758608</v>
      </c>
    </row>
    <row r="63" spans="1:17" x14ac:dyDescent="0.2">
      <c r="A63">
        <v>0.61</v>
      </c>
      <c r="B63">
        <f>bezier(p_0, p_1, p_2, p_3, A63)</f>
        <v>0.34831000000000006</v>
      </c>
      <c r="C63">
        <f t="shared" si="3"/>
        <v>-1.1369999999999996</v>
      </c>
      <c r="M63">
        <v>-4.6000000000000201</v>
      </c>
      <c r="N63">
        <f>extremePos(1, M63)</f>
        <v>0.12730541064935363</v>
      </c>
      <c r="P63">
        <f t="shared" si="2"/>
        <v>1.5400000000000005</v>
      </c>
      <c r="Q63">
        <f t="shared" si="1"/>
        <v>0.62153858541138152</v>
      </c>
    </row>
    <row r="64" spans="1:17" x14ac:dyDescent="0.2">
      <c r="A64">
        <v>0.62</v>
      </c>
      <c r="B64">
        <f>bezier(p_0, p_1, p_2, p_3, A64)</f>
        <v>0.33727999999999991</v>
      </c>
      <c r="C64">
        <f t="shared" si="3"/>
        <v>-1.0680000000000001</v>
      </c>
      <c r="M64">
        <v>-4.5000000000000204</v>
      </c>
      <c r="N64">
        <f>extremePos(1, M64)</f>
        <v>0.13413722628063129</v>
      </c>
      <c r="P64">
        <f t="shared" si="2"/>
        <v>1.5500000000000005</v>
      </c>
      <c r="Q64">
        <f t="shared" si="1"/>
        <v>0.62416249580191718</v>
      </c>
    </row>
    <row r="65" spans="1:17" x14ac:dyDescent="0.2">
      <c r="A65">
        <v>0.63</v>
      </c>
      <c r="B65">
        <f>bezier(p_0, p_1, p_2, p_3, A65)</f>
        <v>0.32697000000000004</v>
      </c>
      <c r="C65">
        <f t="shared" si="3"/>
        <v>-0.99299999999999944</v>
      </c>
      <c r="M65">
        <v>-4.4000000000000199</v>
      </c>
      <c r="N65">
        <f>extremePos(1, M65)</f>
        <v>0.14096940004462066</v>
      </c>
      <c r="P65">
        <f t="shared" si="2"/>
        <v>1.5600000000000005</v>
      </c>
      <c r="Q65">
        <f t="shared" si="1"/>
        <v>0.626792858468043</v>
      </c>
    </row>
    <row r="66" spans="1:17" x14ac:dyDescent="0.2">
      <c r="A66">
        <v>0.64</v>
      </c>
      <c r="B66">
        <f>bezier(p_0, p_1, p_2, p_3, A66)</f>
        <v>0.31744000000000006</v>
      </c>
      <c r="C66">
        <f t="shared" ref="C66:C102" si="4">3*(1-A66)*(1-A66)*(p_1-p_0)+6*(1-A66)*A66*(p_2-p_1)+3*A66*A66*(p_3-p_2)</f>
        <v>-0.91199999999999992</v>
      </c>
      <c r="M66">
        <v>-4.3000000000000203</v>
      </c>
      <c r="N66">
        <f>extremePos(1, M66)</f>
        <v>0.14780195359039139</v>
      </c>
      <c r="P66">
        <f t="shared" si="2"/>
        <v>1.5700000000000005</v>
      </c>
      <c r="Q66">
        <f t="shared" si="1"/>
        <v>0.62942950267455955</v>
      </c>
    </row>
    <row r="67" spans="1:17" x14ac:dyDescent="0.2">
      <c r="A67">
        <v>0.65</v>
      </c>
      <c r="B67">
        <f>bezier(p_0, p_1, p_2, p_3, A67)</f>
        <v>0.30875000000000008</v>
      </c>
      <c r="C67">
        <f t="shared" si="4"/>
        <v>-0.82499999999999885</v>
      </c>
      <c r="M67">
        <v>-4.2000000000000197</v>
      </c>
      <c r="N67">
        <f>extremePos(1, M67)</f>
        <v>0.15463491034851584</v>
      </c>
      <c r="P67">
        <f t="shared" si="2"/>
        <v>1.5800000000000005</v>
      </c>
      <c r="Q67">
        <f t="shared" si="1"/>
        <v>0.63207226377002412</v>
      </c>
    </row>
    <row r="68" spans="1:17" x14ac:dyDescent="0.2">
      <c r="A68">
        <v>0.66</v>
      </c>
      <c r="B68">
        <f>bezier(p_0, p_1, p_2, p_3, A68)</f>
        <v>0.30096000000000001</v>
      </c>
      <c r="C68">
        <f t="shared" si="4"/>
        <v>-0.73200000000000021</v>
      </c>
      <c r="M68">
        <v>-4.1000000000000201</v>
      </c>
      <c r="N68">
        <f>extremePos(1, M68)</f>
        <v>0.16146829571824894</v>
      </c>
      <c r="P68">
        <f t="shared" si="2"/>
        <v>1.5900000000000005</v>
      </c>
      <c r="Q68">
        <f t="shared" si="1"/>
        <v>0.63472098291106582</v>
      </c>
    </row>
    <row r="69" spans="1:17" x14ac:dyDescent="0.2">
      <c r="A69">
        <v>0.67</v>
      </c>
      <c r="B69">
        <f>bezier(p_0, p_1, p_2, p_3, A69)</f>
        <v>0.29413</v>
      </c>
      <c r="C69">
        <f t="shared" si="4"/>
        <v>-0.63299999999999956</v>
      </c>
      <c r="M69">
        <v>-4.0000000000000204</v>
      </c>
      <c r="N69">
        <f>extremePos(1, M69)</f>
        <v>0.16830213727881582</v>
      </c>
      <c r="P69">
        <f t="shared" si="2"/>
        <v>1.6000000000000005</v>
      </c>
      <c r="Q69">
        <f t="shared" si="1"/>
        <v>0.63737550680208332</v>
      </c>
    </row>
    <row r="70" spans="1:17" x14ac:dyDescent="0.2">
      <c r="A70">
        <v>0.68</v>
      </c>
      <c r="B70">
        <f>bezier(p_0, p_1, p_2, p_3, A70)</f>
        <v>0.28832000000000008</v>
      </c>
      <c r="C70">
        <f t="shared" si="4"/>
        <v>-0.52799999999999914</v>
      </c>
      <c r="M70">
        <v>-3.9000000000000199</v>
      </c>
      <c r="N70">
        <f>extremePos(1, M70)</f>
        <v>0.17513646502852698</v>
      </c>
      <c r="P70">
        <f t="shared" si="2"/>
        <v>1.6100000000000005</v>
      </c>
      <c r="Q70">
        <f t="shared" si="1"/>
        <v>0.64003568744928874</v>
      </c>
    </row>
    <row r="71" spans="1:17" x14ac:dyDescent="0.2">
      <c r="A71">
        <v>0.69</v>
      </c>
      <c r="B71">
        <f>bezier(p_0, p_1, p_2, p_3, A71)</f>
        <v>0.28359000000000006</v>
      </c>
      <c r="C71">
        <f t="shared" si="4"/>
        <v>-0.4170000000000007</v>
      </c>
      <c r="M71">
        <v>-3.8000000000000198</v>
      </c>
      <c r="N71">
        <f>extremePos(1, M71)</f>
        <v>0.1819713116560876</v>
      </c>
      <c r="P71">
        <f t="shared" si="2"/>
        <v>1.6200000000000006</v>
      </c>
      <c r="Q71">
        <f t="shared" si="1"/>
        <v>0.64270138192814275</v>
      </c>
    </row>
    <row r="72" spans="1:17" x14ac:dyDescent="0.2">
      <c r="A72">
        <v>0.7</v>
      </c>
      <c r="B72">
        <f>bezier(p_0, p_1, p_2, p_3, A72)</f>
        <v>0.28000000000000003</v>
      </c>
      <c r="C72">
        <f t="shared" si="4"/>
        <v>-0.30000000000000071</v>
      </c>
      <c r="M72">
        <v>-3.7000000000000202</v>
      </c>
      <c r="N72">
        <f>extremePos(1, M72)</f>
        <v>0.1888067128492702</v>
      </c>
      <c r="P72">
        <f t="shared" si="2"/>
        <v>1.6300000000000006</v>
      </c>
      <c r="Q72">
        <f t="shared" si="1"/>
        <v>0.64537245216330852</v>
      </c>
    </row>
    <row r="73" spans="1:17" x14ac:dyDescent="0.2">
      <c r="A73">
        <v>0.71</v>
      </c>
      <c r="B73">
        <f>bezier(p_0, p_1, p_2, p_3, A73)</f>
        <v>0.27761000000000008</v>
      </c>
      <c r="C73">
        <f t="shared" si="4"/>
        <v>-0.17700000000000049</v>
      </c>
      <c r="M73">
        <v>-3.6000000000000201</v>
      </c>
      <c r="N73">
        <f>extremePos(1, M73)</f>
        <v>0.19564270764711467</v>
      </c>
      <c r="P73">
        <f t="shared" si="2"/>
        <v>1.6400000000000006</v>
      </c>
      <c r="Q73">
        <f t="shared" si="1"/>
        <v>0.6480487647203057</v>
      </c>
    </row>
    <row r="74" spans="1:17" x14ac:dyDescent="0.2">
      <c r="A74">
        <v>0.72</v>
      </c>
      <c r="B74">
        <f>bezier(p_0, p_1, p_2, p_3, A74)</f>
        <v>0.27648</v>
      </c>
      <c r="C74">
        <f t="shared" si="4"/>
        <v>-4.7999999999999599E-2</v>
      </c>
      <c r="M74">
        <v>-3.50000000000002</v>
      </c>
      <c r="N74">
        <f>extremePos(1, M74)</f>
        <v>0.20247933884297364</v>
      </c>
      <c r="P74">
        <f t="shared" si="2"/>
        <v>1.6500000000000006</v>
      </c>
      <c r="Q74">
        <f t="shared" ref="Q74:Q137" si="5">extremePos(1, P74)</f>
        <v>0.6507301906081272</v>
      </c>
    </row>
    <row r="75" spans="1:17" x14ac:dyDescent="0.2">
      <c r="A75">
        <v>0.73</v>
      </c>
      <c r="B75">
        <f>bezier(p_0, p_1, p_2, p_3, A75)</f>
        <v>0.27666999999999997</v>
      </c>
      <c r="C75">
        <f t="shared" si="4"/>
        <v>8.6999999999999744E-2</v>
      </c>
      <c r="M75">
        <v>-3.4000000000000199</v>
      </c>
      <c r="N75">
        <f>extremePos(1, M75)</f>
        <v>0.20931665344719408</v>
      </c>
      <c r="P75">
        <f t="shared" ref="P75:P138" si="6">P74+0.01</f>
        <v>1.6600000000000006</v>
      </c>
      <c r="Q75">
        <f t="shared" si="5"/>
        <v>0.65341660509211885</v>
      </c>
    </row>
    <row r="76" spans="1:17" x14ac:dyDescent="0.2">
      <c r="A76">
        <v>0.74</v>
      </c>
      <c r="B76">
        <f>bezier(p_0, p_1, p_2, p_3, A76)</f>
        <v>0.27823999999999999</v>
      </c>
      <c r="C76">
        <f t="shared" si="4"/>
        <v>0.22799999999999931</v>
      </c>
      <c r="M76">
        <v>-3.3000000000000198</v>
      </c>
      <c r="N76">
        <f>extremePos(1, M76)</f>
        <v>0.21615470321999486</v>
      </c>
      <c r="P76">
        <f t="shared" si="6"/>
        <v>1.6700000000000006</v>
      </c>
      <c r="Q76">
        <f t="shared" si="5"/>
        <v>0.65610788751648952</v>
      </c>
    </row>
    <row r="77" spans="1:17" x14ac:dyDescent="0.2">
      <c r="A77">
        <v>0.75</v>
      </c>
      <c r="B77">
        <f>bezier(p_0, p_1, p_2, p_3, A77)</f>
        <v>0.28125</v>
      </c>
      <c r="C77">
        <f t="shared" si="4"/>
        <v>0.375</v>
      </c>
      <c r="M77">
        <v>-3.2000000000000202</v>
      </c>
      <c r="N77">
        <f>extremePos(1, M77)</f>
        <v>0.22299354528729298</v>
      </c>
      <c r="P77">
        <f t="shared" si="6"/>
        <v>1.6800000000000006</v>
      </c>
      <c r="Q77">
        <f t="shared" si="5"/>
        <v>0.65880392113585473</v>
      </c>
    </row>
    <row r="78" spans="1:17" x14ac:dyDescent="0.2">
      <c r="A78">
        <v>0.76</v>
      </c>
      <c r="B78">
        <f>bezier(p_0, p_1, p_2, p_3, A78)</f>
        <v>0.28576000000000001</v>
      </c>
      <c r="C78">
        <f t="shared" si="4"/>
        <v>0.52800000000000047</v>
      </c>
      <c r="M78">
        <v>-3.1000000000000201</v>
      </c>
      <c r="N78">
        <f>extremePos(1, M78)</f>
        <v>0.22983324285495443</v>
      </c>
      <c r="P78">
        <f t="shared" si="6"/>
        <v>1.6900000000000006</v>
      </c>
      <c r="Q78">
        <f t="shared" si="5"/>
        <v>0.66150459295526476</v>
      </c>
    </row>
    <row r="79" spans="1:17" x14ac:dyDescent="0.2">
      <c r="A79">
        <v>0.77</v>
      </c>
      <c r="B79">
        <f>bezier(p_0, p_1, p_2, p_3, A79)</f>
        <v>0.29183000000000003</v>
      </c>
      <c r="C79">
        <f t="shared" si="4"/>
        <v>0.68700000000000028</v>
      </c>
      <c r="M79">
        <v>-3.00000000000002</v>
      </c>
      <c r="N79">
        <f>extremePos(1, M79)</f>
        <v>0.23667386604033547</v>
      </c>
      <c r="P79">
        <f t="shared" si="6"/>
        <v>1.7000000000000006</v>
      </c>
      <c r="Q79">
        <f t="shared" si="5"/>
        <v>0.66420979357821108</v>
      </c>
    </row>
    <row r="80" spans="1:17" x14ac:dyDescent="0.2">
      <c r="A80">
        <v>0.78</v>
      </c>
      <c r="B80">
        <f>bezier(p_0, p_1, p_2, p_3, A80)</f>
        <v>0.29952000000000001</v>
      </c>
      <c r="C80">
        <f t="shared" si="4"/>
        <v>0.85200000000000031</v>
      </c>
      <c r="M80">
        <v>-2.9000000000000301</v>
      </c>
      <c r="N80">
        <f>extremePos(1, M80)</f>
        <v>0.24351549284423646</v>
      </c>
      <c r="P80">
        <f t="shared" si="6"/>
        <v>1.7100000000000006</v>
      </c>
      <c r="Q80">
        <f t="shared" si="5"/>
        <v>0.66691941706213176</v>
      </c>
    </row>
    <row r="81" spans="1:17" x14ac:dyDescent="0.2">
      <c r="A81">
        <v>0.79</v>
      </c>
      <c r="B81">
        <f>bezier(p_0, p_1, p_2, p_3, A81)</f>
        <v>0.30889000000000011</v>
      </c>
      <c r="C81">
        <f t="shared" si="4"/>
        <v>1.0230000000000006</v>
      </c>
      <c r="M81">
        <v>-2.80000000000003</v>
      </c>
      <c r="N81">
        <f>extremePos(1, M81)</f>
        <v>0.25035821029174654</v>
      </c>
      <c r="P81">
        <f t="shared" si="6"/>
        <v>1.7200000000000006</v>
      </c>
      <c r="Q81">
        <f t="shared" si="5"/>
        <v>0.66963336078097746</v>
      </c>
    </row>
    <row r="82" spans="1:17" x14ac:dyDescent="0.2">
      <c r="A82">
        <v>0.8</v>
      </c>
      <c r="B82">
        <f>bezier(p_0, p_1, p_2, p_3, A82)</f>
        <v>0.32000000000000006</v>
      </c>
      <c r="C82">
        <f t="shared" si="4"/>
        <v>1.2000000000000011</v>
      </c>
      <c r="M82">
        <v>-2.7000000000000299</v>
      </c>
      <c r="N82">
        <f>extremePos(1, M82)</f>
        <v>0.25720211577727303</v>
      </c>
      <c r="P82">
        <f t="shared" si="6"/>
        <v>1.7300000000000006</v>
      </c>
      <c r="Q82">
        <f t="shared" si="5"/>
        <v>0.67235152529442754</v>
      </c>
    </row>
    <row r="83" spans="1:17" x14ac:dyDescent="0.2">
      <c r="A83">
        <v>0.81</v>
      </c>
      <c r="B83">
        <f>bezier(p_0, p_1, p_2, p_3, A83)</f>
        <v>0.33291000000000015</v>
      </c>
      <c r="C83">
        <f t="shared" si="4"/>
        <v>1.3830000000000009</v>
      </c>
      <c r="M83">
        <v>-2.6000000000000298</v>
      </c>
      <c r="N83">
        <f>extremePos(1, M83)</f>
        <v>0.26404731865773301</v>
      </c>
      <c r="P83">
        <f t="shared" si="6"/>
        <v>1.7400000000000007</v>
      </c>
      <c r="Q83">
        <f t="shared" si="5"/>
        <v>0.67507381422337465</v>
      </c>
    </row>
    <row r="84" spans="1:17" x14ac:dyDescent="0.2">
      <c r="A84">
        <v>0.82</v>
      </c>
      <c r="B84">
        <f>bezier(p_0, p_1, p_2, p_3, A84)</f>
        <v>0.34767999999999988</v>
      </c>
      <c r="C84">
        <f t="shared" si="4"/>
        <v>1.5719999999999992</v>
      </c>
      <c r="M84">
        <v>-2.5000000000000302</v>
      </c>
      <c r="N84">
        <f>extremePos(1, M84)</f>
        <v>0.27089394214906448</v>
      </c>
      <c r="P84">
        <f t="shared" si="6"/>
        <v>1.7500000000000007</v>
      </c>
      <c r="Q84">
        <f t="shared" si="5"/>
        <v>0.67780013413131857</v>
      </c>
    </row>
    <row r="85" spans="1:17" x14ac:dyDescent="0.2">
      <c r="A85">
        <v>0.83</v>
      </c>
      <c r="B85">
        <f>bezier(p_0, p_1, p_2, p_3, A85)</f>
        <v>0.36436999999999997</v>
      </c>
      <c r="C85">
        <f t="shared" si="4"/>
        <v>1.7669999999999986</v>
      </c>
      <c r="M85">
        <v>-2.4000000000000301</v>
      </c>
      <c r="N85">
        <f>extremePos(1, M85)</f>
        <v>0.2777421255957141</v>
      </c>
      <c r="P85">
        <f t="shared" si="6"/>
        <v>1.7600000000000007</v>
      </c>
      <c r="Q85">
        <f t="shared" si="5"/>
        <v>0.68053039441133623</v>
      </c>
    </row>
    <row r="86" spans="1:17" x14ac:dyDescent="0.2">
      <c r="A86">
        <v>0.84</v>
      </c>
      <c r="B86">
        <f>bezier(p_0, p_1, p_2, p_3, A86)</f>
        <v>0.38303999999999994</v>
      </c>
      <c r="C86">
        <f t="shared" si="4"/>
        <v>1.9679999999999995</v>
      </c>
      <c r="M86">
        <v>-2.30000000000003</v>
      </c>
      <c r="N86">
        <f>extremePos(1, M86)</f>
        <v>0.28459202720164534</v>
      </c>
      <c r="P86">
        <f t="shared" si="6"/>
        <v>1.7700000000000007</v>
      </c>
      <c r="Q86">
        <f t="shared" si="5"/>
        <v>0.68326450717832232</v>
      </c>
    </row>
    <row r="87" spans="1:17" x14ac:dyDescent="0.2">
      <c r="A87">
        <v>0.85</v>
      </c>
      <c r="B87">
        <f>bezier(p_0, p_1, p_2, p_3, A87)</f>
        <v>0.40374999999999989</v>
      </c>
      <c r="C87">
        <f t="shared" si="4"/>
        <v>2.1749999999999998</v>
      </c>
      <c r="M87">
        <v>-2.2000000000000299</v>
      </c>
      <c r="N87">
        <f>extremePos(1, M87)</f>
        <v>0.29144382733634289</v>
      </c>
      <c r="P87">
        <f t="shared" si="6"/>
        <v>1.7800000000000007</v>
      </c>
      <c r="Q87">
        <f t="shared" si="5"/>
        <v>0.68600238716619999</v>
      </c>
    </row>
    <row r="88" spans="1:17" x14ac:dyDescent="0.2">
      <c r="A88">
        <v>0.86</v>
      </c>
      <c r="B88">
        <f>bezier(p_0, p_1, p_2, p_3, A88)</f>
        <v>0.42655999999999994</v>
      </c>
      <c r="C88">
        <f t="shared" si="4"/>
        <v>2.3879999999999995</v>
      </c>
      <c r="M88">
        <v>-2.1000000000000298</v>
      </c>
      <c r="N88">
        <f>extremePos(1, M88)</f>
        <v>0.29829773256234215</v>
      </c>
      <c r="P88">
        <f t="shared" si="6"/>
        <v>1.7900000000000007</v>
      </c>
      <c r="Q88">
        <f t="shared" si="5"/>
        <v>0.68874395162984237</v>
      </c>
    </row>
    <row r="89" spans="1:17" x14ac:dyDescent="0.2">
      <c r="A89">
        <v>0.87</v>
      </c>
      <c r="B89">
        <f>bezier(p_0, p_1, p_2, p_3, A89)</f>
        <v>0.4515300000000001</v>
      </c>
      <c r="C89">
        <f t="shared" si="4"/>
        <v>2.6069999999999993</v>
      </c>
      <c r="M89">
        <v>-2.0000000000000302</v>
      </c>
      <c r="N89">
        <f>extremePos(1, M89)</f>
        <v>0.3051539805751623</v>
      </c>
      <c r="P89">
        <f t="shared" si="6"/>
        <v>1.8000000000000007</v>
      </c>
      <c r="Q89">
        <f t="shared" si="5"/>
        <v>0.69148912025143328</v>
      </c>
    </row>
    <row r="90" spans="1:17" x14ac:dyDescent="0.2">
      <c r="A90">
        <v>0.88</v>
      </c>
      <c r="B90">
        <f>bezier(p_0, p_1, p_2, p_3, A90)</f>
        <v>0.47871999999999998</v>
      </c>
      <c r="C90">
        <f t="shared" si="4"/>
        <v>2.8319999999999999</v>
      </c>
      <c r="M90">
        <v>-1.9000000000000301</v>
      </c>
      <c r="N90">
        <f>extremePos(1, M90)</f>
        <v>0.31201284630658471</v>
      </c>
      <c r="P90">
        <f t="shared" si="6"/>
        <v>1.8100000000000007</v>
      </c>
      <c r="Q90">
        <f t="shared" si="5"/>
        <v>0.69423781505104798</v>
      </c>
    </row>
    <row r="91" spans="1:17" x14ac:dyDescent="0.2">
      <c r="A91">
        <v>0.89</v>
      </c>
      <c r="B91">
        <f>bezier(p_0, p_1, p_2, p_3, A91)</f>
        <v>0.50819000000000014</v>
      </c>
      <c r="C91">
        <f t="shared" si="4"/>
        <v>3.0630000000000006</v>
      </c>
      <c r="M91">
        <v>-1.80000000000003</v>
      </c>
      <c r="N91">
        <f>extremePos(1, M91)</f>
        <v>0.31887464952440853</v>
      </c>
      <c r="P91">
        <f t="shared" si="6"/>
        <v>1.8200000000000007</v>
      </c>
      <c r="Q91">
        <f t="shared" si="5"/>
        <v>0.69698996030121363</v>
      </c>
    </row>
    <row r="92" spans="1:17" x14ac:dyDescent="0.2">
      <c r="A92">
        <v>0.9</v>
      </c>
      <c r="B92">
        <f>bezier(p_0, p_1, p_2, p_3, A92)</f>
        <v>0.54</v>
      </c>
      <c r="C92">
        <f t="shared" si="4"/>
        <v>3.3000000000000007</v>
      </c>
      <c r="M92">
        <v>-1.7000000000000299</v>
      </c>
      <c r="N92">
        <f>extremePos(1, M92)</f>
        <v>0.32573976437568436</v>
      </c>
      <c r="P92">
        <f t="shared" si="6"/>
        <v>1.8300000000000007</v>
      </c>
      <c r="Q92">
        <f t="shared" si="5"/>
        <v>0.69974548244524748</v>
      </c>
    </row>
    <row r="93" spans="1:17" x14ac:dyDescent="0.2">
      <c r="A93">
        <v>0.91</v>
      </c>
      <c r="B93">
        <f>bezier(p_0, p_1, p_2, p_3, A93)</f>
        <v>0.57421000000000011</v>
      </c>
      <c r="C93">
        <f t="shared" si="4"/>
        <v>3.543000000000001</v>
      </c>
      <c r="M93">
        <v>-1.6000000000000301</v>
      </c>
      <c r="N93">
        <f>extremePos(1, M93)</f>
        <v>0.33260863148004682</v>
      </c>
      <c r="P93">
        <f t="shared" si="6"/>
        <v>1.8400000000000007</v>
      </c>
      <c r="Q93">
        <f t="shared" si="5"/>
        <v>0.7025043100191779</v>
      </c>
    </row>
    <row r="94" spans="1:17" x14ac:dyDescent="0.2">
      <c r="A94">
        <v>0.92</v>
      </c>
      <c r="B94">
        <f>bezier(p_0, p_1, p_2, p_3, A94)</f>
        <v>0.61088000000000009</v>
      </c>
      <c r="C94">
        <f t="shared" si="4"/>
        <v>3.7920000000000007</v>
      </c>
      <c r="M94">
        <v>-1.50000000000003</v>
      </c>
      <c r="N94">
        <f>extremePos(1, M94)</f>
        <v>0.3394817734066789</v>
      </c>
      <c r="P94">
        <f t="shared" si="6"/>
        <v>1.8500000000000008</v>
      </c>
      <c r="Q94">
        <f t="shared" si="5"/>
        <v>0.70526637357705435</v>
      </c>
    </row>
    <row r="95" spans="1:17" x14ac:dyDescent="0.2">
      <c r="A95">
        <v>0.93</v>
      </c>
      <c r="B95">
        <f>bezier(p_0, p_1, p_2, p_3, A95)</f>
        <v>0.65007000000000015</v>
      </c>
      <c r="C95">
        <f t="shared" si="4"/>
        <v>4.0470000000000006</v>
      </c>
      <c r="M95">
        <v>-1.4000000000000301</v>
      </c>
      <c r="N95">
        <f>extremePos(1, M95)</f>
        <v>0.34635981469564842</v>
      </c>
      <c r="P95">
        <f t="shared" si="6"/>
        <v>1.8600000000000008</v>
      </c>
      <c r="Q95">
        <f t="shared" si="5"/>
        <v>0.70803160561948153</v>
      </c>
    </row>
    <row r="96" spans="1:17" x14ac:dyDescent="0.2">
      <c r="A96">
        <v>0.94</v>
      </c>
      <c r="B96">
        <f>bezier(p_0, p_1, p_2, p_3, A96)</f>
        <v>0.69183999999999979</v>
      </c>
      <c r="C96">
        <f t="shared" si="4"/>
        <v>4.3079999999999989</v>
      </c>
      <c r="M96">
        <v>-1.30000000000003</v>
      </c>
      <c r="N96">
        <f>extremePos(1, M96)</f>
        <v>0.35324350806389504</v>
      </c>
      <c r="P96">
        <f t="shared" si="6"/>
        <v>1.8700000000000008</v>
      </c>
      <c r="Q96">
        <f t="shared" si="5"/>
        <v>0.71079994052520945</v>
      </c>
    </row>
    <row r="97" spans="1:17" x14ac:dyDescent="0.2">
      <c r="A97">
        <v>0.95</v>
      </c>
      <c r="B97">
        <f>bezier(p_0, p_1, p_2, p_3, A97)</f>
        <v>0.73624999999999985</v>
      </c>
      <c r="C97">
        <f t="shared" si="4"/>
        <v>4.5749999999999984</v>
      </c>
      <c r="M97">
        <v>-1.2000000000000299</v>
      </c>
      <c r="N97">
        <f>extremePos(1, M97)</f>
        <v>0.36013376915114137</v>
      </c>
      <c r="P97">
        <f t="shared" si="6"/>
        <v>1.8800000000000008</v>
      </c>
      <c r="Q97">
        <f t="shared" si="5"/>
        <v>0.71357131448562305</v>
      </c>
    </row>
    <row r="98" spans="1:17" x14ac:dyDescent="0.2">
      <c r="A98">
        <v>0.96</v>
      </c>
      <c r="B98">
        <f>bezier(p_0, p_1, p_2, p_3, A98)</f>
        <v>0.78335999999999983</v>
      </c>
      <c r="C98">
        <f t="shared" si="4"/>
        <v>4.847999999999999</v>
      </c>
      <c r="M98">
        <v>-1.1000000000000301</v>
      </c>
      <c r="N98">
        <f>extremePos(1, M98)</f>
        <v>0.3670317232477982</v>
      </c>
      <c r="P98">
        <f t="shared" si="6"/>
        <v>1.8900000000000008</v>
      </c>
      <c r="Q98">
        <f t="shared" si="5"/>
        <v>0.71634566544199407</v>
      </c>
    </row>
    <row r="99" spans="1:17" x14ac:dyDescent="0.2">
      <c r="A99">
        <v>0.97</v>
      </c>
      <c r="B99">
        <f>bezier(p_0, p_1, p_2, p_3, A99)</f>
        <v>0.83322999999999992</v>
      </c>
      <c r="C99">
        <f t="shared" si="4"/>
        <v>5.1269999999999998</v>
      </c>
      <c r="M99">
        <v>-1.00000000000003</v>
      </c>
      <c r="N99">
        <f>extremePos(1, M99)</f>
        <v>0.3739387691339795</v>
      </c>
      <c r="P99">
        <f t="shared" si="6"/>
        <v>1.9000000000000008</v>
      </c>
      <c r="Q99">
        <f t="shared" si="5"/>
        <v>0.71912293302534958</v>
      </c>
    </row>
    <row r="100" spans="1:17" x14ac:dyDescent="0.2">
      <c r="A100">
        <v>0.98</v>
      </c>
      <c r="B100">
        <f>bezier(p_0, p_1, p_2, p_3, A100)</f>
        <v>0.88591999999999982</v>
      </c>
      <c r="C100">
        <f t="shared" si="4"/>
        <v>5.411999999999999</v>
      </c>
      <c r="M100">
        <v>-0.900000000000031</v>
      </c>
      <c r="N100">
        <f>extremePos(1, M100)</f>
        <v>0.38085666783974165</v>
      </c>
      <c r="P100">
        <f t="shared" si="6"/>
        <v>1.9100000000000008</v>
      </c>
      <c r="Q100">
        <f t="shared" si="5"/>
        <v>0.72190305849883574</v>
      </c>
    </row>
    <row r="101" spans="1:17" x14ac:dyDescent="0.2">
      <c r="A101">
        <v>0.99</v>
      </c>
      <c r="B101">
        <f>bezier(p_0, p_1, p_2, p_3, A101)</f>
        <v>0.94148999999999994</v>
      </c>
      <c r="C101">
        <f t="shared" si="4"/>
        <v>5.7029999999999994</v>
      </c>
      <c r="M101">
        <v>-0.80000000000002902</v>
      </c>
      <c r="N101">
        <f>extremePos(1, M101)</f>
        <v>0.38778766851008128</v>
      </c>
      <c r="P101">
        <f t="shared" si="6"/>
        <v>1.9200000000000008</v>
      </c>
      <c r="Q101">
        <f t="shared" si="5"/>
        <v>0.72468598470244816</v>
      </c>
    </row>
    <row r="102" spans="1:17" x14ac:dyDescent="0.2">
      <c r="A102">
        <v>1</v>
      </c>
      <c r="B102">
        <f>bezier(p_0, p_1, p_2, p_3, A102)</f>
        <v>1</v>
      </c>
      <c r="C102">
        <f t="shared" si="4"/>
        <v>6</v>
      </c>
      <c r="M102">
        <v>-0.70000000000002904</v>
      </c>
      <c r="N102">
        <f>extremePos(1, M102)</f>
        <v>0.39473469090541236</v>
      </c>
      <c r="P102">
        <f t="shared" si="6"/>
        <v>1.9300000000000008</v>
      </c>
      <c r="Q102">
        <f t="shared" si="5"/>
        <v>0.72747165600002439</v>
      </c>
    </row>
    <row r="103" spans="1:17" x14ac:dyDescent="0.2">
      <c r="M103">
        <v>-0.60000000000002995</v>
      </c>
      <c r="N103">
        <f>extremePos(1, M103)</f>
        <v>0.40170159682991247</v>
      </c>
      <c r="P103">
        <f t="shared" si="6"/>
        <v>1.9400000000000008</v>
      </c>
      <c r="Q103">
        <f t="shared" si="5"/>
        <v>0.73026001822837572</v>
      </c>
    </row>
    <row r="104" spans="1:17" x14ac:dyDescent="0.2">
      <c r="M104">
        <v>-0.50000000000002998</v>
      </c>
      <c r="N104">
        <f>extremePos(1, M104)</f>
        <v>0.40869360580859582</v>
      </c>
      <c r="P104">
        <f t="shared" si="6"/>
        <v>1.9500000000000008</v>
      </c>
      <c r="Q104">
        <f t="shared" si="5"/>
        <v>0.73305101864847388</v>
      </c>
    </row>
    <row r="105" spans="1:17" x14ac:dyDescent="0.2">
      <c r="M105">
        <v>-0.400000000000031</v>
      </c>
      <c r="N105">
        <f>extremePos(1, M105)</f>
        <v>0.41571795376513809</v>
      </c>
      <c r="P105">
        <f t="shared" si="6"/>
        <v>1.9600000000000009</v>
      </c>
      <c r="Q105">
        <f t="shared" si="5"/>
        <v>0.73584460589857781</v>
      </c>
    </row>
    <row r="106" spans="1:17" x14ac:dyDescent="0.2">
      <c r="M106">
        <v>-0.30000000000002902</v>
      </c>
      <c r="N106">
        <f>extremePos(1, M106)</f>
        <v>0.42278497971441859</v>
      </c>
      <c r="P106">
        <f t="shared" si="6"/>
        <v>1.9700000000000009</v>
      </c>
      <c r="Q106">
        <f t="shared" si="5"/>
        <v>0.73864072994922425</v>
      </c>
    </row>
    <row r="107" spans="1:17" x14ac:dyDescent="0.2">
      <c r="M107">
        <v>-0.20000000000002899</v>
      </c>
      <c r="N107">
        <f>extremePos(1, M107)</f>
        <v>0.42991000771332866</v>
      </c>
      <c r="P107">
        <f t="shared" si="6"/>
        <v>1.9800000000000009</v>
      </c>
      <c r="Q107">
        <f t="shared" si="5"/>
        <v>0.74143934205998574</v>
      </c>
    </row>
    <row r="108" spans="1:17" x14ac:dyDescent="0.2">
      <c r="M108">
        <v>-0.100000000000041</v>
      </c>
      <c r="N108">
        <f>extremePos(1, M108)</f>
        <v>0.43711680623608762</v>
      </c>
      <c r="P108">
        <f t="shared" si="6"/>
        <v>1.9900000000000009</v>
      </c>
      <c r="Q108">
        <f t="shared" si="5"/>
        <v>0.74424039473792036</v>
      </c>
    </row>
    <row r="109" spans="1:17" x14ac:dyDescent="0.2">
      <c r="M109">
        <v>0</v>
      </c>
      <c r="N109">
        <f>extremePos(1, M109)</f>
        <v>0.44444444444444442</v>
      </c>
      <c r="P109">
        <f t="shared" si="6"/>
        <v>2.0000000000000009</v>
      </c>
      <c r="Q109">
        <f t="shared" si="5"/>
        <v>0.7470438416976305</v>
      </c>
    </row>
    <row r="110" spans="1:17" x14ac:dyDescent="0.2">
      <c r="M110">
        <v>9.9999999999999603E-2</v>
      </c>
      <c r="N110">
        <f>extremePos(1, M110)</f>
        <v>0.451962290716513</v>
      </c>
      <c r="P110">
        <f t="shared" si="6"/>
        <v>2.0100000000000007</v>
      </c>
      <c r="Q110">
        <f t="shared" si="5"/>
        <v>0.74984963782286407</v>
      </c>
    </row>
    <row r="111" spans="1:17" x14ac:dyDescent="0.2">
      <c r="M111">
        <v>0.19999999999999901</v>
      </c>
      <c r="N111">
        <f>extremePos(1, M111)</f>
        <v>0.45980762113533152</v>
      </c>
      <c r="P111">
        <f t="shared" si="6"/>
        <v>2.0200000000000005</v>
      </c>
      <c r="Q111">
        <f t="shared" si="5"/>
        <v>0.75265773912958112</v>
      </c>
    </row>
    <row r="112" spans="1:17" x14ac:dyDescent="0.2">
      <c r="M112">
        <v>0.30000000000000099</v>
      </c>
      <c r="N112">
        <f>extremePos(1, M112)</f>
        <v>0.46830141585090646</v>
      </c>
      <c r="P112">
        <f t="shared" si="6"/>
        <v>2.0300000000000002</v>
      </c>
      <c r="Q112">
        <f t="shared" si="5"/>
        <v>0.7554681027304252</v>
      </c>
    </row>
    <row r="113" spans="13:17" x14ac:dyDescent="0.2">
      <c r="M113">
        <v>0.4</v>
      </c>
      <c r="N113">
        <f>extremePos(1, M113)</f>
        <v>0.47846096908265273</v>
      </c>
      <c r="P113">
        <f t="shared" si="6"/>
        <v>2.04</v>
      </c>
      <c r="Q113">
        <f t="shared" si="5"/>
        <v>0.75828068680053606</v>
      </c>
    </row>
    <row r="114" spans="13:17" x14ac:dyDescent="0.2">
      <c r="M114">
        <v>0.5</v>
      </c>
      <c r="N114">
        <f>extremePos(1, M114)</f>
        <v>0.5</v>
      </c>
      <c r="P114">
        <f t="shared" si="6"/>
        <v>2.0499999999999998</v>
      </c>
      <c r="Q114">
        <f t="shared" si="5"/>
        <v>0.76109545054464345</v>
      </c>
    </row>
    <row r="115" spans="13:17" x14ac:dyDescent="0.2">
      <c r="M115">
        <v>0.6</v>
      </c>
      <c r="N115" t="e">
        <f>extremePos(1, M115)</f>
        <v>#VALUE!</v>
      </c>
      <c r="P115">
        <f t="shared" si="6"/>
        <v>2.0599999999999996</v>
      </c>
      <c r="Q115">
        <f t="shared" si="5"/>
        <v>0.76391235416538328</v>
      </c>
    </row>
    <row r="116" spans="13:17" x14ac:dyDescent="0.2">
      <c r="M116">
        <v>0.69999999999999896</v>
      </c>
      <c r="N116" t="e">
        <f>extremePos(1, M116)</f>
        <v>#VALUE!</v>
      </c>
      <c r="P116">
        <f t="shared" si="6"/>
        <v>2.0699999999999994</v>
      </c>
      <c r="Q116">
        <f t="shared" si="5"/>
        <v>0.7667313588327912</v>
      </c>
    </row>
    <row r="117" spans="13:17" x14ac:dyDescent="0.2">
      <c r="M117">
        <v>0.80000000000000104</v>
      </c>
      <c r="N117" t="e">
        <f>extremePos(1, M117)</f>
        <v>#VALUE!</v>
      </c>
      <c r="P117">
        <f t="shared" si="6"/>
        <v>2.0799999999999992</v>
      </c>
      <c r="Q117">
        <f t="shared" si="5"/>
        <v>0.76955242665491208</v>
      </c>
    </row>
    <row r="118" spans="13:17" x14ac:dyDescent="0.2">
      <c r="M118">
        <v>0.9</v>
      </c>
      <c r="N118" t="e">
        <f>extremePos(1, M118)</f>
        <v>#VALUE!</v>
      </c>
      <c r="P118">
        <f t="shared" si="6"/>
        <v>2.089999999999999</v>
      </c>
      <c r="Q118">
        <f t="shared" si="5"/>
        <v>0.77237552064948511</v>
      </c>
    </row>
    <row r="119" spans="13:17" x14ac:dyDescent="0.2">
      <c r="M119">
        <v>1</v>
      </c>
      <c r="N119">
        <f>extremePos(1, M119)</f>
        <v>0.5</v>
      </c>
      <c r="P119">
        <f t="shared" si="6"/>
        <v>2.0999999999999988</v>
      </c>
      <c r="Q119">
        <f t="shared" si="5"/>
        <v>0.77520060471665364</v>
      </c>
    </row>
    <row r="120" spans="13:17" x14ac:dyDescent="0.2">
      <c r="M120">
        <v>1.1000000000000001</v>
      </c>
      <c r="N120">
        <f>extremePos(1, M120)</f>
        <v>0.51707281298158936</v>
      </c>
      <c r="P120">
        <f t="shared" si="6"/>
        <v>2.1099999999999985</v>
      </c>
      <c r="Q120">
        <f t="shared" si="5"/>
        <v>0.77802764361266186</v>
      </c>
    </row>
    <row r="121" spans="13:17" x14ac:dyDescent="0.2">
      <c r="M121">
        <v>1.2</v>
      </c>
      <c r="N121">
        <f>extremePos(1, M121)</f>
        <v>0.53800837266252521</v>
      </c>
      <c r="P121">
        <f t="shared" si="6"/>
        <v>2.1199999999999983</v>
      </c>
      <c r="Q121">
        <f t="shared" si="5"/>
        <v>0.78085660292448911</v>
      </c>
    </row>
    <row r="122" spans="13:17" x14ac:dyDescent="0.2">
      <c r="M122">
        <v>1.3</v>
      </c>
      <c r="N122">
        <f>extremePos(1, M122)</f>
        <v>0.56108861892250594</v>
      </c>
      <c r="P122">
        <f t="shared" si="6"/>
        <v>2.1299999999999981</v>
      </c>
      <c r="Q122">
        <f t="shared" si="5"/>
        <v>0.78368744904539012</v>
      </c>
    </row>
    <row r="123" spans="13:17" x14ac:dyDescent="0.2">
      <c r="M123">
        <v>1.4</v>
      </c>
      <c r="N123">
        <f>extremePos(1, M123)</f>
        <v>0.58559430185749017</v>
      </c>
      <c r="P123">
        <f t="shared" si="6"/>
        <v>2.1399999999999979</v>
      </c>
      <c r="Q123">
        <f t="shared" si="5"/>
        <v>0.78652014915129909</v>
      </c>
    </row>
    <row r="124" spans="13:17" x14ac:dyDescent="0.2">
      <c r="M124">
        <v>1.5</v>
      </c>
      <c r="N124">
        <f>extremePos(1, M124)</f>
        <v>0.61111111111111116</v>
      </c>
      <c r="P124">
        <f t="shared" si="6"/>
        <v>2.1499999999999977</v>
      </c>
      <c r="Q124">
        <f t="shared" si="5"/>
        <v>0.78935467117806191</v>
      </c>
    </row>
    <row r="125" spans="13:17" x14ac:dyDescent="0.2">
      <c r="M125">
        <v>1.6</v>
      </c>
      <c r="N125">
        <f>extremePos(1, M125)</f>
        <v>0.63737550680208321</v>
      </c>
      <c r="P125">
        <f t="shared" si="6"/>
        <v>2.1599999999999975</v>
      </c>
      <c r="Q125">
        <f t="shared" si="5"/>
        <v>0.79219098379946384</v>
      </c>
    </row>
    <row r="126" spans="13:17" x14ac:dyDescent="0.2">
      <c r="M126">
        <v>1.7</v>
      </c>
      <c r="N126">
        <f>extremePos(1, M126)</f>
        <v>0.66420979357821108</v>
      </c>
      <c r="P126">
        <f t="shared" si="6"/>
        <v>2.1699999999999973</v>
      </c>
      <c r="Q126">
        <f t="shared" si="5"/>
        <v>0.79502905640602284</v>
      </c>
    </row>
    <row r="127" spans="13:17" x14ac:dyDescent="0.2">
      <c r="M127">
        <v>1.8</v>
      </c>
      <c r="N127">
        <f>extremePos(1, M127)</f>
        <v>0.69148912025143316</v>
      </c>
      <c r="P127">
        <f t="shared" si="6"/>
        <v>2.1799999999999971</v>
      </c>
      <c r="Q127">
        <f t="shared" si="5"/>
        <v>0.79786885908450844</v>
      </c>
    </row>
    <row r="128" spans="13:17" x14ac:dyDescent="0.2">
      <c r="M128">
        <v>1.9</v>
      </c>
      <c r="N128">
        <f>extremePos(1, M128)</f>
        <v>0.71912293302534935</v>
      </c>
      <c r="P128">
        <f t="shared" si="6"/>
        <v>2.1899999999999968</v>
      </c>
      <c r="Q128">
        <f t="shared" si="5"/>
        <v>0.8007103625981693</v>
      </c>
    </row>
    <row r="129" spans="13:17" x14ac:dyDescent="0.2">
      <c r="M129">
        <v>2</v>
      </c>
      <c r="N129">
        <f>extremePos(1, M129)</f>
        <v>0.74704384169763016</v>
      </c>
      <c r="P129">
        <f t="shared" si="6"/>
        <v>2.1999999999999966</v>
      </c>
      <c r="Q129">
        <f t="shared" si="5"/>
        <v>0.8035535383676301</v>
      </c>
    </row>
    <row r="130" spans="13:17" x14ac:dyDescent="0.2">
      <c r="M130">
        <v>2.1</v>
      </c>
      <c r="N130">
        <f>extremePos(1, M130)</f>
        <v>0.77520060471665408</v>
      </c>
      <c r="P130">
        <f t="shared" si="6"/>
        <v>2.2099999999999964</v>
      </c>
      <c r="Q130">
        <f t="shared" si="5"/>
        <v>0.80639835845243824</v>
      </c>
    </row>
    <row r="131" spans="13:17" x14ac:dyDescent="0.2">
      <c r="M131">
        <v>2.2000000000000002</v>
      </c>
      <c r="N131">
        <f>extremePos(1, M131)</f>
        <v>0.80355353836763055</v>
      </c>
      <c r="P131">
        <f t="shared" si="6"/>
        <v>2.2199999999999962</v>
      </c>
      <c r="Q131">
        <f t="shared" si="5"/>
        <v>0.80924479553323225</v>
      </c>
    </row>
    <row r="132" spans="13:17" x14ac:dyDescent="0.2">
      <c r="M132">
        <v>2.2999999999999998</v>
      </c>
      <c r="N132">
        <f>extremePos(1, M132)</f>
        <v>0.83207141753397695</v>
      </c>
      <c r="P132">
        <f t="shared" si="6"/>
        <v>2.229999999999996</v>
      </c>
      <c r="Q132">
        <f t="shared" si="5"/>
        <v>0.81209282289450413</v>
      </c>
    </row>
    <row r="133" spans="13:17" x14ac:dyDescent="0.2">
      <c r="M133">
        <v>2.4</v>
      </c>
      <c r="N133">
        <f>extremePos(1, M133)</f>
        <v>0.86072932787995915</v>
      </c>
      <c r="P133">
        <f t="shared" si="6"/>
        <v>2.2399999999999958</v>
      </c>
      <c r="Q133">
        <f t="shared" si="5"/>
        <v>0.81494241440794046</v>
      </c>
    </row>
    <row r="134" spans="13:17" x14ac:dyDescent="0.2">
      <c r="M134">
        <v>2.5</v>
      </c>
      <c r="N134">
        <f>extremePos(1, M134)</f>
        <v>0.88950714346443815</v>
      </c>
      <c r="P134">
        <f t="shared" si="6"/>
        <v>2.2499999999999956</v>
      </c>
      <c r="Q134">
        <f t="shared" si="5"/>
        <v>0.81779354451631048</v>
      </c>
    </row>
    <row r="135" spans="13:17" x14ac:dyDescent="0.2">
      <c r="M135">
        <v>2.6</v>
      </c>
      <c r="N135">
        <f>extremePos(1, M135)</f>
        <v>0.91838842622334105</v>
      </c>
      <c r="P135">
        <f t="shared" si="6"/>
        <v>2.2599999999999953</v>
      </c>
      <c r="Q135">
        <f t="shared" si="5"/>
        <v>0.82064618821788604</v>
      </c>
    </row>
    <row r="136" spans="13:17" x14ac:dyDescent="0.2">
      <c r="M136">
        <v>2.7</v>
      </c>
      <c r="N136">
        <f>extremePos(1, M136)</f>
        <v>0.94735961646644751</v>
      </c>
      <c r="P136">
        <f t="shared" si="6"/>
        <v>2.2699999999999951</v>
      </c>
      <c r="Q136">
        <f t="shared" si="5"/>
        <v>0.82350032105137405</v>
      </c>
    </row>
    <row r="137" spans="13:17" x14ac:dyDescent="0.2">
      <c r="M137">
        <v>2.8</v>
      </c>
      <c r="N137">
        <f>extremePos(1, M137)</f>
        <v>0.97640942813048026</v>
      </c>
      <c r="P137">
        <f t="shared" si="6"/>
        <v>2.2799999999999949</v>
      </c>
      <c r="Q137">
        <f t="shared" si="5"/>
        <v>0.82635591908133299</v>
      </c>
    </row>
    <row r="138" spans="13:17" x14ac:dyDescent="0.2">
      <c r="M138">
        <v>2.9</v>
      </c>
      <c r="N138">
        <f>extremePos(1, M138)</f>
        <v>1.0055283906570063</v>
      </c>
      <c r="P138">
        <f t="shared" si="6"/>
        <v>2.2899999999999947</v>
      </c>
      <c r="Q138">
        <f t="shared" ref="Q138:Q201" si="7">extremePos(1, P138)</f>
        <v>0.82921295888406832</v>
      </c>
    </row>
    <row r="139" spans="13:17" x14ac:dyDescent="0.2">
      <c r="M139">
        <v>3</v>
      </c>
      <c r="N139">
        <f>extremePos(1, M139)</f>
        <v>1.0347084975412582</v>
      </c>
      <c r="P139">
        <f t="shared" ref="P139:P202" si="8">P138+0.01</f>
        <v>2.2999999999999945</v>
      </c>
      <c r="Q139">
        <f t="shared" si="7"/>
        <v>0.8320714175339754</v>
      </c>
    </row>
    <row r="140" spans="13:17" x14ac:dyDescent="0.2">
      <c r="M140">
        <v>3.1</v>
      </c>
      <c r="N140">
        <f>extremePos(1, M140)</f>
        <v>1.0639429336030115</v>
      </c>
      <c r="P140">
        <f t="shared" si="8"/>
        <v>2.3099999999999943</v>
      </c>
      <c r="Q140">
        <f t="shared" si="7"/>
        <v>0.83493127259032407</v>
      </c>
    </row>
    <row r="141" spans="13:17" x14ac:dyDescent="0.2">
      <c r="M141">
        <v>3.2</v>
      </c>
      <c r="N141">
        <f>extremePos(1, M141)</f>
        <v>1.0932258611144807</v>
      </c>
      <c r="P141">
        <f t="shared" si="8"/>
        <v>2.3199999999999941</v>
      </c>
      <c r="Q141">
        <f t="shared" si="7"/>
        <v>0.83779250208446199</v>
      </c>
    </row>
    <row r="142" spans="13:17" x14ac:dyDescent="0.2">
      <c r="M142">
        <v>3.3</v>
      </c>
      <c r="N142">
        <f>extremePos(1, M142)</f>
        <v>1.1225522504597922</v>
      </c>
      <c r="P142">
        <f t="shared" si="8"/>
        <v>2.3299999999999939</v>
      </c>
      <c r="Q142">
        <f t="shared" si="7"/>
        <v>0.84065508450742066</v>
      </c>
    </row>
    <row r="143" spans="13:17" x14ac:dyDescent="0.2">
      <c r="M143">
        <v>3.4</v>
      </c>
      <c r="N143">
        <f>extremePos(1, M143)</f>
        <v>1.1519177448576114</v>
      </c>
      <c r="P143">
        <f t="shared" si="8"/>
        <v>2.3399999999999936</v>
      </c>
      <c r="Q143">
        <f t="shared" si="7"/>
        <v>0.84351899879791581</v>
      </c>
    </row>
    <row r="144" spans="13:17" x14ac:dyDescent="0.2">
      <c r="M144">
        <v>3.5</v>
      </c>
      <c r="N144">
        <f>extremePos(1, M144)</f>
        <v>1.1813185514034019</v>
      </c>
      <c r="P144">
        <f t="shared" si="8"/>
        <v>2.3499999999999934</v>
      </c>
      <c r="Q144">
        <f t="shared" si="7"/>
        <v>0.8463842243307198</v>
      </c>
    </row>
    <row r="145" spans="13:17" x14ac:dyDescent="0.2">
      <c r="M145">
        <v>3.6</v>
      </c>
      <c r="N145">
        <f>extremePos(1, M145)</f>
        <v>1.2107513526386997</v>
      </c>
      <c r="P145">
        <f t="shared" si="8"/>
        <v>2.3599999999999932</v>
      </c>
      <c r="Q145">
        <f t="shared" si="7"/>
        <v>0.8492507409053982</v>
      </c>
    </row>
    <row r="146" spans="13:17" x14ac:dyDescent="0.2">
      <c r="M146">
        <v>3.7</v>
      </c>
      <c r="N146">
        <f>extremePos(1, M146)</f>
        <v>1.2402132342689747</v>
      </c>
      <c r="P146">
        <f t="shared" si="8"/>
        <v>2.369999999999993</v>
      </c>
      <c r="Q146">
        <f t="shared" si="7"/>
        <v>0.85211852873539362</v>
      </c>
    </row>
    <row r="147" spans="13:17" x14ac:dyDescent="0.2">
      <c r="M147">
        <v>3.8</v>
      </c>
      <c r="N147">
        <f>extremePos(1, M147)</f>
        <v>1.2697016256884388</v>
      </c>
      <c r="P147">
        <f t="shared" si="8"/>
        <v>2.3799999999999928</v>
      </c>
      <c r="Q147">
        <f t="shared" si="7"/>
        <v>0.8549875684374465</v>
      </c>
    </row>
    <row r="148" spans="13:17" x14ac:dyDescent="0.2">
      <c r="M148">
        <v>3.9</v>
      </c>
      <c r="N148">
        <f>extremePos(1, M148)</f>
        <v>1.2992142507384454</v>
      </c>
      <c r="P148">
        <f t="shared" si="8"/>
        <v>2.3899999999999926</v>
      </c>
      <c r="Q148">
        <f t="shared" si="7"/>
        <v>0.85785784102133977</v>
      </c>
    </row>
    <row r="149" spans="13:17" x14ac:dyDescent="0.2">
      <c r="M149">
        <v>4</v>
      </c>
      <c r="N149">
        <f>extremePos(1, M149)</f>
        <v>1.3287490867010321</v>
      </c>
      <c r="P149">
        <f t="shared" si="8"/>
        <v>2.3999999999999924</v>
      </c>
      <c r="Q149">
        <f t="shared" si="7"/>
        <v>0.86072932787995704</v>
      </c>
    </row>
    <row r="150" spans="13:17" x14ac:dyDescent="0.2">
      <c r="M150">
        <v>4.0999999999999002</v>
      </c>
      <c r="N150">
        <f>extremePos(1, M150)</f>
        <v>1.3583043299633801</v>
      </c>
      <c r="P150">
        <f t="shared" si="8"/>
        <v>2.4099999999999921</v>
      </c>
      <c r="Q150">
        <f t="shared" si="7"/>
        <v>0.86360201077964072</v>
      </c>
    </row>
    <row r="151" spans="13:17" x14ac:dyDescent="0.2">
      <c r="M151">
        <v>4.1999999999998998</v>
      </c>
      <c r="N151">
        <f>extremePos(1, M151)</f>
        <v>1.3878783671199466</v>
      </c>
      <c r="P151">
        <f t="shared" si="8"/>
        <v>2.4199999999999919</v>
      </c>
      <c r="Q151">
        <f t="shared" si="7"/>
        <v>0.86647587185084141</v>
      </c>
    </row>
    <row r="152" spans="13:17" x14ac:dyDescent="0.2">
      <c r="M152">
        <v>4.2999999999999003</v>
      </c>
      <c r="N152">
        <f>extremePos(1, M152)</f>
        <v>1.4174697505325253</v>
      </c>
      <c r="P152">
        <f t="shared" si="8"/>
        <v>2.4299999999999917</v>
      </c>
      <c r="Q152">
        <f t="shared" si="7"/>
        <v>0.86935089357904771</v>
      </c>
    </row>
    <row r="153" spans="13:17" x14ac:dyDescent="0.2">
      <c r="M153">
        <v>4.3999999999999</v>
      </c>
      <c r="N153">
        <f>extremePos(1, M153)</f>
        <v>1.4470771775661011</v>
      </c>
      <c r="P153">
        <f t="shared" si="8"/>
        <v>2.4399999999999915</v>
      </c>
      <c r="Q153">
        <f t="shared" si="7"/>
        <v>0.8722270587959895</v>
      </c>
    </row>
    <row r="154" spans="13:17" x14ac:dyDescent="0.2">
      <c r="M154">
        <v>4.4999999999998996</v>
      </c>
      <c r="N154">
        <f>extremePos(1, M154)</f>
        <v>1.4766994728706799</v>
      </c>
      <c r="P154">
        <f t="shared" si="8"/>
        <v>2.4499999999999913</v>
      </c>
      <c r="Q154">
        <f t="shared" si="7"/>
        <v>0.87510435067109538</v>
      </c>
    </row>
    <row r="155" spans="13:17" x14ac:dyDescent="0.2">
      <c r="M155">
        <v>4.5999999999999002</v>
      </c>
      <c r="N155">
        <f>extremePos(1, M155)</f>
        <v>1.5063355732001253</v>
      </c>
      <c r="P155">
        <f t="shared" si="8"/>
        <v>2.4599999999999911</v>
      </c>
      <c r="Q155">
        <f t="shared" si="7"/>
        <v>0.87798275270321202</v>
      </c>
    </row>
    <row r="156" spans="13:17" x14ac:dyDescent="0.2">
      <c r="M156">
        <v>4.6999999999998998</v>
      </c>
      <c r="N156">
        <f>extremePos(1, M156)</f>
        <v>1.5359845143538935</v>
      </c>
      <c r="P156">
        <f t="shared" si="8"/>
        <v>2.4699999999999909</v>
      </c>
      <c r="Q156">
        <f t="shared" si="7"/>
        <v>0.88086224871255969</v>
      </c>
    </row>
    <row r="157" spans="13:17" x14ac:dyDescent="0.2">
      <c r="M157">
        <v>4.7999999999999003</v>
      </c>
      <c r="N157">
        <f>extremePos(1, M157)</f>
        <v>1.5656454199030987</v>
      </c>
      <c r="P157">
        <f t="shared" si="8"/>
        <v>2.4799999999999907</v>
      </c>
      <c r="Q157">
        <f t="shared" si="7"/>
        <v>0.88374282283292505</v>
      </c>
    </row>
    <row r="158" spans="13:17" x14ac:dyDescent="0.2">
      <c r="M158">
        <v>4.8999999999999</v>
      </c>
      <c r="N158">
        <f>extremePos(1, M158)</f>
        <v>1.5953174914226793</v>
      </c>
      <c r="P158">
        <f t="shared" si="8"/>
        <v>2.4899999999999904</v>
      </c>
      <c r="Q158">
        <f t="shared" si="7"/>
        <v>0.88662445950408308</v>
      </c>
    </row>
    <row r="159" spans="13:17" x14ac:dyDescent="0.2">
      <c r="M159">
        <v>4.9999999999998996</v>
      </c>
      <c r="N159">
        <f>extremePos(1, M159)</f>
        <v>1.6249999999999702</v>
      </c>
      <c r="P159">
        <f t="shared" si="8"/>
        <v>2.4999999999999902</v>
      </c>
      <c r="Q159">
        <f t="shared" si="7"/>
        <v>0.88950714346443538</v>
      </c>
    </row>
    <row r="160" spans="13:17" x14ac:dyDescent="0.2">
      <c r="M160">
        <v>5.0999999999999002</v>
      </c>
      <c r="N160">
        <f>extremePos(1, M160)</f>
        <v>1.6546922788291867</v>
      </c>
      <c r="P160">
        <f t="shared" si="8"/>
        <v>2.50999999999999</v>
      </c>
      <c r="Q160">
        <f t="shared" si="7"/>
        <v>0.89239085974386423</v>
      </c>
    </row>
    <row r="161" spans="13:17" x14ac:dyDescent="0.2">
      <c r="M161">
        <v>5.1999999999998998</v>
      </c>
      <c r="N161">
        <f>extremePos(1, M161)</f>
        <v>1.6843937167331267</v>
      </c>
      <c r="P161">
        <f t="shared" si="8"/>
        <v>2.5199999999999898</v>
      </c>
      <c r="Q161">
        <f t="shared" si="7"/>
        <v>0.89527559365678755</v>
      </c>
    </row>
    <row r="162" spans="13:17" x14ac:dyDescent="0.2">
      <c r="M162">
        <v>5.2999999999999003</v>
      </c>
      <c r="N162">
        <f>extremePos(1, M162)</f>
        <v>1.7141037524793941</v>
      </c>
      <c r="P162">
        <f t="shared" si="8"/>
        <v>2.5299999999999896</v>
      </c>
      <c r="Q162">
        <f t="shared" si="7"/>
        <v>0.89816133079541549</v>
      </c>
    </row>
    <row r="163" spans="13:17" x14ac:dyDescent="0.2">
      <c r="M163">
        <v>5.3999999999999</v>
      </c>
      <c r="N163">
        <f>extremePos(1, M163)</f>
        <v>1.7438218697796983</v>
      </c>
      <c r="P163">
        <f t="shared" si="8"/>
        <v>2.5399999999999894</v>
      </c>
      <c r="Q163">
        <f t="shared" si="7"/>
        <v>0.90104805702319657</v>
      </c>
    </row>
    <row r="164" spans="13:17" x14ac:dyDescent="0.2">
      <c r="M164">
        <v>5.4999999999998996</v>
      </c>
      <c r="N164">
        <f>extremePos(1, M164)</f>
        <v>1.7735475928783226</v>
      </c>
      <c r="P164">
        <f t="shared" si="8"/>
        <v>2.5499999999999892</v>
      </c>
      <c r="Q164">
        <f t="shared" si="7"/>
        <v>0.90393575846844787</v>
      </c>
    </row>
    <row r="165" spans="13:17" x14ac:dyDescent="0.2">
      <c r="M165">
        <v>5.5999999999999002</v>
      </c>
      <c r="N165">
        <f>extremePos(1, M165)</f>
        <v>1.8032804826503117</v>
      </c>
      <c r="P165">
        <f t="shared" si="8"/>
        <v>2.559999999999989</v>
      </c>
      <c r="Q165">
        <f t="shared" si="7"/>
        <v>0.90682442151816922</v>
      </c>
    </row>
    <row r="166" spans="13:17" x14ac:dyDescent="0.2">
      <c r="M166">
        <v>5.6999999999998998</v>
      </c>
      <c r="N166">
        <f>extremePos(1, M166)</f>
        <v>1.8330201331419564</v>
      </c>
      <c r="P166">
        <f t="shared" si="8"/>
        <v>2.5699999999999887</v>
      </c>
      <c r="Q166">
        <f t="shared" si="7"/>
        <v>0.90971403281202512</v>
      </c>
    </row>
    <row r="167" spans="13:17" x14ac:dyDescent="0.2">
      <c r="M167">
        <v>5.7999999999999003</v>
      </c>
      <c r="N167">
        <f>extremePos(1, M167)</f>
        <v>1.8627661684961572</v>
      </c>
      <c r="P167">
        <f t="shared" si="8"/>
        <v>2.5799999999999885</v>
      </c>
      <c r="Q167">
        <f t="shared" si="7"/>
        <v>0.91260457923649685</v>
      </c>
    </row>
    <row r="168" spans="13:17" x14ac:dyDescent="0.2">
      <c r="M168">
        <v>5.8999999999999</v>
      </c>
      <c r="N168">
        <f>extremePos(1, M168)</f>
        <v>1.8925182402136045</v>
      </c>
      <c r="P168">
        <f t="shared" si="8"/>
        <v>2.5899999999999883</v>
      </c>
      <c r="Q168">
        <f t="shared" si="7"/>
        <v>0.91549604791919659</v>
      </c>
    </row>
    <row r="169" spans="13:17" x14ac:dyDescent="0.2">
      <c r="M169">
        <v>5.9999999999998996</v>
      </c>
      <c r="N169">
        <f>extremePos(1, M169)</f>
        <v>1.9222760247077431</v>
      </c>
      <c r="P169">
        <f t="shared" si="8"/>
        <v>2.5999999999999881</v>
      </c>
      <c r="Q169">
        <f t="shared" si="7"/>
        <v>0.91838842622333694</v>
      </c>
    </row>
    <row r="170" spans="13:17" x14ac:dyDescent="0.2">
      <c r="M170">
        <v>6.0999999999999002</v>
      </c>
      <c r="N170">
        <f>extremePos(1, M170)</f>
        <v>1.9520392211174038</v>
      </c>
      <c r="P170">
        <f t="shared" si="8"/>
        <v>2.6099999999999879</v>
      </c>
      <c r="Q170">
        <f t="shared" si="7"/>
        <v>0.92128170174235779</v>
      </c>
    </row>
    <row r="171" spans="13:17" x14ac:dyDescent="0.2">
      <c r="M171">
        <v>6.1999999999998998</v>
      </c>
      <c r="N171">
        <f>extremePos(1, M171)</f>
        <v>1.9818075493459495</v>
      </c>
      <c r="P171">
        <f t="shared" si="8"/>
        <v>2.6199999999999877</v>
      </c>
      <c r="Q171">
        <f t="shared" si="7"/>
        <v>0.9241758622946884</v>
      </c>
    </row>
    <row r="172" spans="13:17" x14ac:dyDescent="0.2">
      <c r="M172">
        <v>6.2999999999999003</v>
      </c>
      <c r="N172">
        <f>extremePos(1, M172)</f>
        <v>2.0115807483000392</v>
      </c>
      <c r="P172">
        <f t="shared" si="8"/>
        <v>2.6299999999999875</v>
      </c>
      <c r="Q172">
        <f t="shared" si="7"/>
        <v>0.92707089591866709</v>
      </c>
    </row>
    <row r="173" spans="13:17" x14ac:dyDescent="0.2">
      <c r="M173">
        <v>6.3999999999999</v>
      </c>
      <c r="N173">
        <f>extremePos(1, M173)</f>
        <v>2.0413585743046947</v>
      </c>
      <c r="P173">
        <f t="shared" si="8"/>
        <v>2.6399999999999872</v>
      </c>
      <c r="Q173">
        <f t="shared" si="7"/>
        <v>0.92996679086758627</v>
      </c>
    </row>
    <row r="174" spans="13:17" x14ac:dyDescent="0.2">
      <c r="M174">
        <v>6.4999999999998996</v>
      </c>
      <c r="N174">
        <f>extremePos(1, M174)</f>
        <v>2.0711407996744047</v>
      </c>
      <c r="P174">
        <f t="shared" si="8"/>
        <v>2.649999999999987</v>
      </c>
      <c r="Q174">
        <f t="shared" si="7"/>
        <v>0.93286353560487678</v>
      </c>
    </row>
    <row r="175" spans="13:17" x14ac:dyDescent="0.2">
      <c r="M175">
        <v>6.5999999999999002</v>
      </c>
      <c r="N175">
        <f>extremePos(1, M175)</f>
        <v>2.1009272114226434</v>
      </c>
      <c r="P175">
        <f t="shared" si="8"/>
        <v>2.6599999999999868</v>
      </c>
      <c r="Q175">
        <f t="shared" si="7"/>
        <v>0.93576111879942114</v>
      </c>
    </row>
    <row r="176" spans="13:17" x14ac:dyDescent="0.2">
      <c r="M176">
        <v>6.6999999999998998</v>
      </c>
      <c r="N176">
        <f>extremePos(1, M176)</f>
        <v>2.1307176100944001</v>
      </c>
      <c r="P176">
        <f t="shared" si="8"/>
        <v>2.6699999999999866</v>
      </c>
      <c r="Q176">
        <f t="shared" si="7"/>
        <v>0.93865952932099006</v>
      </c>
    </row>
    <row r="177" spans="13:17" x14ac:dyDescent="0.2">
      <c r="M177">
        <v>6.7999999999999003</v>
      </c>
      <c r="N177">
        <f>extremePos(1, M177)</f>
        <v>2.1605118087082555</v>
      </c>
      <c r="P177">
        <f t="shared" si="8"/>
        <v>2.6799999999999864</v>
      </c>
      <c r="Q177">
        <f t="shared" si="7"/>
        <v>0.94155875623580243</v>
      </c>
    </row>
    <row r="178" spans="13:17" x14ac:dyDescent="0.2">
      <c r="M178">
        <v>6.8999999999999</v>
      </c>
      <c r="N178">
        <f>extremePos(1, M178)</f>
        <v>2.1903096317961901</v>
      </c>
      <c r="P178">
        <f t="shared" si="8"/>
        <v>2.6899999999999862</v>
      </c>
      <c r="Q178">
        <f t="shared" si="7"/>
        <v>0.94445878880220091</v>
      </c>
    </row>
    <row r="179" spans="13:17" x14ac:dyDescent="0.2">
      <c r="M179">
        <v>6.9999999999998996</v>
      </c>
      <c r="N179">
        <f>extremePos(1, M179)</f>
        <v>2.220110914530756</v>
      </c>
      <c r="P179">
        <f t="shared" si="8"/>
        <v>2.699999999999986</v>
      </c>
      <c r="Q179">
        <f t="shared" si="7"/>
        <v>0.94735961646644351</v>
      </c>
    </row>
    <row r="180" spans="13:17" x14ac:dyDescent="0.2">
      <c r="M180">
        <v>7.0999999999999002</v>
      </c>
      <c r="N180">
        <f>extremePos(1, M180)</f>
        <v>2.2499155019304791</v>
      </c>
      <c r="P180">
        <f t="shared" si="8"/>
        <v>2.7099999999999858</v>
      </c>
      <c r="Q180">
        <f t="shared" si="7"/>
        <v>0.95026122885860342</v>
      </c>
    </row>
    <row r="181" spans="13:17" x14ac:dyDescent="0.2">
      <c r="M181">
        <v>7.1999999999998998</v>
      </c>
      <c r="N181">
        <f>extremePos(1, M181)</f>
        <v>2.2797232481354142</v>
      </c>
      <c r="P181">
        <f t="shared" si="8"/>
        <v>2.7199999999999855</v>
      </c>
      <c r="Q181">
        <f t="shared" si="7"/>
        <v>0.95316361578857833</v>
      </c>
    </row>
    <row r="182" spans="13:17" x14ac:dyDescent="0.2">
      <c r="M182">
        <v>7.2999999999999003</v>
      </c>
      <c r="N182">
        <f>extremePos(1, M182)</f>
        <v>2.3095340157457511</v>
      </c>
      <c r="P182">
        <f t="shared" si="8"/>
        <v>2.7299999999999853</v>
      </c>
      <c r="Q182">
        <f t="shared" si="7"/>
        <v>0.95606676724220041</v>
      </c>
    </row>
    <row r="183" spans="13:17" x14ac:dyDescent="0.2">
      <c r="M183">
        <v>7.3999999999999</v>
      </c>
      <c r="N183">
        <f>extremePos(1, M183)</f>
        <v>2.3393476752171534</v>
      </c>
      <c r="P183">
        <f t="shared" si="8"/>
        <v>2.7399999999999851</v>
      </c>
      <c r="Q183">
        <f t="shared" si="7"/>
        <v>0.95897067337745134</v>
      </c>
    </row>
    <row r="184" spans="13:17" x14ac:dyDescent="0.2">
      <c r="M184">
        <v>7.4999999999998996</v>
      </c>
      <c r="N184">
        <f>extremePos(1, M184)</f>
        <v>2.3691641043072207</v>
      </c>
      <c r="P184">
        <f t="shared" si="8"/>
        <v>2.7499999999999849</v>
      </c>
      <c r="Q184">
        <f t="shared" si="7"/>
        <v>0.96187532452077051</v>
      </c>
    </row>
    <row r="185" spans="13:17" x14ac:dyDescent="0.2">
      <c r="M185">
        <v>7.5999999999999002</v>
      </c>
      <c r="N185">
        <f>extremePos(1, M185)</f>
        <v>2.3989831875681231</v>
      </c>
      <c r="P185">
        <f t="shared" si="8"/>
        <v>2.7599999999999847</v>
      </c>
      <c r="Q185">
        <f t="shared" si="7"/>
        <v>0.9647807111634602</v>
      </c>
    </row>
    <row r="186" spans="13:17" x14ac:dyDescent="0.2">
      <c r="M186">
        <v>7.6999999999998998</v>
      </c>
      <c r="N186">
        <f>extremePos(1, M186)</f>
        <v>2.428804815880953</v>
      </c>
      <c r="P186">
        <f t="shared" si="8"/>
        <v>2.7699999999999845</v>
      </c>
      <c r="Q186">
        <f t="shared" si="7"/>
        <v>0.96768682395818328</v>
      </c>
    </row>
    <row r="187" spans="13:17" x14ac:dyDescent="0.2">
      <c r="M187">
        <v>7.7999999999999003</v>
      </c>
      <c r="N187">
        <f>extremePos(1, M187)</f>
        <v>2.4586288860278627</v>
      </c>
      <c r="P187">
        <f t="shared" si="8"/>
        <v>2.7799999999999843</v>
      </c>
      <c r="Q187">
        <f t="shared" si="7"/>
        <v>0.97059365371554696</v>
      </c>
    </row>
    <row r="188" spans="13:17" x14ac:dyDescent="0.2">
      <c r="M188">
        <v>7.8999999999999</v>
      </c>
      <c r="N188">
        <f>extremePos(1, M188)</f>
        <v>2.488455300298452</v>
      </c>
      <c r="P188">
        <f t="shared" si="8"/>
        <v>2.789999999999984</v>
      </c>
      <c r="Q188">
        <f t="shared" si="7"/>
        <v>0.97350119140077751</v>
      </c>
    </row>
    <row r="189" spans="13:17" x14ac:dyDescent="0.2">
      <c r="M189">
        <v>7.9999999999998996</v>
      </c>
      <c r="N189">
        <f>extremePos(1, M189)</f>
        <v>2.5182839661272447</v>
      </c>
      <c r="P189">
        <f t="shared" si="8"/>
        <v>2.7999999999999838</v>
      </c>
      <c r="Q189">
        <f t="shared" si="7"/>
        <v>0.97640942813047582</v>
      </c>
    </row>
    <row r="190" spans="13:17" x14ac:dyDescent="0.2">
      <c r="M190">
        <v>8.0999999999999002</v>
      </c>
      <c r="N190">
        <f>extremePos(1, M190)</f>
        <v>2.5481147957594388</v>
      </c>
      <c r="P190">
        <f t="shared" si="8"/>
        <v>2.8099999999999836</v>
      </c>
      <c r="Q190">
        <f t="shared" si="7"/>
        <v>0.97931835516945387</v>
      </c>
    </row>
    <row r="191" spans="13:17" x14ac:dyDescent="0.2">
      <c r="M191">
        <v>8.1999999999998998</v>
      </c>
      <c r="N191">
        <f>extremePos(1, M191)</f>
        <v>2.5779477059423677</v>
      </c>
      <c r="P191">
        <f t="shared" si="8"/>
        <v>2.8199999999999834</v>
      </c>
      <c r="Q191">
        <f t="shared" si="7"/>
        <v>0.98222796392765388</v>
      </c>
    </row>
    <row r="192" spans="13:17" x14ac:dyDescent="0.2">
      <c r="M192">
        <v>8.2999999999998995</v>
      </c>
      <c r="N192">
        <f>extremePos(1, M192)</f>
        <v>2.6077826176404311</v>
      </c>
      <c r="P192">
        <f t="shared" si="8"/>
        <v>2.8299999999999832</v>
      </c>
      <c r="Q192">
        <f t="shared" si="7"/>
        <v>0.9851382459571405</v>
      </c>
    </row>
    <row r="193" spans="13:17" x14ac:dyDescent="0.2">
      <c r="M193">
        <v>8.3999999999999009</v>
      </c>
      <c r="N193">
        <f>extremePos(1, M193)</f>
        <v>2.6376194557713917</v>
      </c>
      <c r="P193">
        <f t="shared" si="8"/>
        <v>2.839999999999983</v>
      </c>
      <c r="Q193">
        <f t="shared" si="7"/>
        <v>0.98804919294916738</v>
      </c>
    </row>
    <row r="194" spans="13:17" x14ac:dyDescent="0.2">
      <c r="M194">
        <v>8.4999999999999005</v>
      </c>
      <c r="N194">
        <f>extremePos(1, M194)</f>
        <v>2.6674581489622371</v>
      </c>
      <c r="P194">
        <f t="shared" si="8"/>
        <v>2.8499999999999828</v>
      </c>
      <c r="Q194">
        <f t="shared" si="7"/>
        <v>0.99096079673132276</v>
      </c>
    </row>
    <row r="195" spans="13:17" x14ac:dyDescent="0.2">
      <c r="M195">
        <v>8.5999999999999002</v>
      </c>
      <c r="N195">
        <f>extremePos(1, M195)</f>
        <v>2.6972986293229031</v>
      </c>
      <c r="P195">
        <f t="shared" si="8"/>
        <v>2.8599999999999826</v>
      </c>
      <c r="Q195">
        <f t="shared" si="7"/>
        <v>0.99387304926473441</v>
      </c>
    </row>
    <row r="196" spans="13:17" x14ac:dyDescent="0.2">
      <c r="M196">
        <v>8.6999999999998998</v>
      </c>
      <c r="N196">
        <f>extremePos(1, M196)</f>
        <v>2.7271408322363633</v>
      </c>
      <c r="P196">
        <f t="shared" si="8"/>
        <v>2.8699999999999823</v>
      </c>
      <c r="Q196">
        <f t="shared" si="7"/>
        <v>0.99678594264135378</v>
      </c>
    </row>
    <row r="197" spans="13:17" x14ac:dyDescent="0.2">
      <c r="M197">
        <v>8.7999999999998995</v>
      </c>
      <c r="N197">
        <f>extremePos(1, M197)</f>
        <v>2.7569846961637254</v>
      </c>
      <c r="P197">
        <f t="shared" si="8"/>
        <v>2.8799999999999821</v>
      </c>
      <c r="Q197">
        <f t="shared" si="7"/>
        <v>0.99969946908129903</v>
      </c>
    </row>
    <row r="198" spans="13:17" x14ac:dyDescent="0.2">
      <c r="M198">
        <v>8.8999999999999009</v>
      </c>
      <c r="N198">
        <f>extremePos(1, M198)</f>
        <v>2.786830162463088</v>
      </c>
      <c r="P198">
        <f t="shared" si="8"/>
        <v>2.8899999999999819</v>
      </c>
      <c r="Q198">
        <f t="shared" si="7"/>
        <v>1.0026136209302663</v>
      </c>
    </row>
    <row r="199" spans="13:17" x14ac:dyDescent="0.2">
      <c r="M199">
        <v>8.9999999999999005</v>
      </c>
      <c r="N199">
        <f>extremePos(1, M199)</f>
        <v>2.8166771752210376</v>
      </c>
      <c r="P199">
        <f t="shared" si="8"/>
        <v>2.8999999999999817</v>
      </c>
      <c r="Q199">
        <f t="shared" si="7"/>
        <v>1.0055283906570009</v>
      </c>
    </row>
    <row r="200" spans="13:17" x14ac:dyDescent="0.2">
      <c r="M200">
        <v>9.0999999999999002</v>
      </c>
      <c r="N200">
        <f>extremePos(1, M200)</f>
        <v>2.8465256810957844</v>
      </c>
      <c r="P200">
        <f t="shared" si="8"/>
        <v>2.9099999999999815</v>
      </c>
      <c r="Q200">
        <f t="shared" si="7"/>
        <v>1.0084437708508329</v>
      </c>
    </row>
    <row r="201" spans="13:17" x14ac:dyDescent="0.2">
      <c r="M201">
        <v>9.1999999999998998</v>
      </c>
      <c r="N201">
        <f>extremePos(1, M201)</f>
        <v>2.8763756291709823</v>
      </c>
      <c r="P201">
        <f t="shared" si="8"/>
        <v>2.9199999999999813</v>
      </c>
      <c r="Q201">
        <f t="shared" si="7"/>
        <v>1.01135975421927</v>
      </c>
    </row>
    <row r="202" spans="13:17" x14ac:dyDescent="0.2">
      <c r="M202">
        <v>9.2999999999998995</v>
      </c>
      <c r="N202">
        <f>extremePos(1, M202)</f>
        <v>2.9062269708194202</v>
      </c>
      <c r="P202">
        <f t="shared" si="8"/>
        <v>2.9299999999999811</v>
      </c>
      <c r="Q202">
        <f t="shared" ref="Q202:Q265" si="9">extremePos(1, P202)</f>
        <v>1.0142763335856446</v>
      </c>
    </row>
    <row r="203" spans="13:17" x14ac:dyDescent="0.2">
      <c r="M203">
        <v>9.3999999999999009</v>
      </c>
      <c r="N203">
        <f>extremePos(1, M203)</f>
        <v>2.9360796595757956</v>
      </c>
      <c r="P203">
        <f t="shared" ref="P203:P266" si="10">P202+0.01</f>
        <v>2.9399999999999809</v>
      </c>
      <c r="Q203">
        <f t="shared" si="9"/>
        <v>1.0171935018868252</v>
      </c>
    </row>
    <row r="204" spans="13:17" x14ac:dyDescent="0.2">
      <c r="M204">
        <v>9.4999999999999005</v>
      </c>
      <c r="N204">
        <f>extremePos(1, M204)</f>
        <v>2.9659336510178922</v>
      </c>
      <c r="P204">
        <f t="shared" si="10"/>
        <v>2.9499999999999806</v>
      </c>
      <c r="Q204">
        <f t="shared" si="9"/>
        <v>1.0201112521709732</v>
      </c>
    </row>
    <row r="205" spans="13:17" x14ac:dyDescent="0.2">
      <c r="M205">
        <v>9.5999999999999002</v>
      </c>
      <c r="N205">
        <f>extremePos(1, M205)</f>
        <v>2.9957889026554918</v>
      </c>
      <c r="P205">
        <f t="shared" si="10"/>
        <v>2.9599999999999804</v>
      </c>
      <c r="Q205">
        <f t="shared" si="9"/>
        <v>1.023029577595358</v>
      </c>
    </row>
    <row r="206" spans="13:17" x14ac:dyDescent="0.2">
      <c r="M206">
        <v>9.6999999999998998</v>
      </c>
      <c r="N206">
        <f>extremePos(1, M206)</f>
        <v>3.0256453738264777</v>
      </c>
      <c r="P206">
        <f t="shared" si="10"/>
        <v>2.9699999999999802</v>
      </c>
      <c r="Q206">
        <f t="shared" si="9"/>
        <v>1.0259484714242213</v>
      </c>
    </row>
    <row r="207" spans="13:17" x14ac:dyDescent="0.2">
      <c r="M207">
        <v>9.7999999999998995</v>
      </c>
      <c r="N207">
        <f>extremePos(1, M207)</f>
        <v>3.0555030255995548</v>
      </c>
      <c r="P207">
        <f t="shared" si="10"/>
        <v>2.97999999999998</v>
      </c>
      <c r="Q207">
        <f t="shared" si="9"/>
        <v>1.0288679270266941</v>
      </c>
    </row>
    <row r="208" spans="13:17" x14ac:dyDescent="0.2">
      <c r="M208">
        <v>9.8999999999999009</v>
      </c>
      <c r="N208">
        <f>extremePos(1, M208)</f>
        <v>3.0853618206831239</v>
      </c>
      <c r="P208">
        <f t="shared" si="10"/>
        <v>2.9899999999999798</v>
      </c>
      <c r="Q208">
        <f t="shared" si="9"/>
        <v>1.0317879378747561</v>
      </c>
    </row>
    <row r="209" spans="13:17" x14ac:dyDescent="0.2">
      <c r="M209">
        <v>9.9999999999999005</v>
      </c>
      <c r="N209">
        <f>extremePos(1, M209)</f>
        <v>3.1152217233398525</v>
      </c>
      <c r="P209">
        <f t="shared" si="10"/>
        <v>2.9999999999999796</v>
      </c>
      <c r="Q209">
        <f t="shared" si="9"/>
        <v>1.0347084975412522</v>
      </c>
    </row>
    <row r="210" spans="13:17" x14ac:dyDescent="0.2">
      <c r="M210">
        <v>10.0999999999999</v>
      </c>
      <c r="N210">
        <f>extremePos(1, M210)</f>
        <v>3.1450826993065317</v>
      </c>
      <c r="P210">
        <f t="shared" si="10"/>
        <v>3.0099999999999794</v>
      </c>
      <c r="Q210">
        <f t="shared" si="9"/>
        <v>1.0376295996979445</v>
      </c>
    </row>
    <row r="211" spans="13:17" x14ac:dyDescent="0.2">
      <c r="M211">
        <v>10.1999999999999</v>
      </c>
      <c r="N211">
        <f>extremePos(1, M211)</f>
        <v>3.1749447157188451</v>
      </c>
      <c r="P211">
        <f t="shared" si="10"/>
        <v>3.0199999999999791</v>
      </c>
      <c r="Q211">
        <f t="shared" si="9"/>
        <v>1.0405512381136182</v>
      </c>
    </row>
    <row r="212" spans="13:17" x14ac:dyDescent="0.2">
      <c r="M212">
        <v>10.299999999999899</v>
      </c>
      <c r="N212">
        <f>extremePos(1, M212)</f>
        <v>3.2048077410406872</v>
      </c>
      <c r="P212">
        <f t="shared" si="10"/>
        <v>3.0299999999999789</v>
      </c>
      <c r="Q212">
        <f t="shared" si="9"/>
        <v>1.0434734066522238</v>
      </c>
    </row>
    <row r="213" spans="13:17" x14ac:dyDescent="0.2">
      <c r="M213">
        <v>10.399999999999901</v>
      </c>
      <c r="N213">
        <f>extremePos(1, M213)</f>
        <v>3.2346717449977413</v>
      </c>
      <c r="P213">
        <f t="shared" si="10"/>
        <v>3.0399999999999787</v>
      </c>
      <c r="Q213">
        <f t="shared" si="9"/>
        <v>1.0463960992710675</v>
      </c>
    </row>
    <row r="214" spans="13:17" x14ac:dyDescent="0.2">
      <c r="M214">
        <v>10.499999999999901</v>
      </c>
      <c r="N214">
        <f>extremePos(1, M214)</f>
        <v>3.2645366985149913</v>
      </c>
      <c r="P214">
        <f t="shared" si="10"/>
        <v>3.0499999999999785</v>
      </c>
      <c r="Q214">
        <f t="shared" si="9"/>
        <v>1.0493193100190388</v>
      </c>
    </row>
    <row r="215" spans="13:17" x14ac:dyDescent="0.2">
      <c r="M215">
        <v>10.5999999999999</v>
      </c>
      <c r="N215">
        <f>extremePos(1, M215)</f>
        <v>3.294402573657913</v>
      </c>
      <c r="P215">
        <f t="shared" si="10"/>
        <v>3.0599999999999783</v>
      </c>
      <c r="Q215">
        <f t="shared" si="9"/>
        <v>1.0522430330348798</v>
      </c>
    </row>
    <row r="216" spans="13:17" x14ac:dyDescent="0.2">
      <c r="M216">
        <v>10.6999999999999</v>
      </c>
      <c r="N216">
        <f>extremePos(1, M216)</f>
        <v>3.3242693435770971</v>
      </c>
      <c r="P216">
        <f t="shared" si="10"/>
        <v>3.0699999999999781</v>
      </c>
      <c r="Q216">
        <f t="shared" si="9"/>
        <v>1.055167262545496</v>
      </c>
    </row>
    <row r="217" spans="13:17" x14ac:dyDescent="0.2">
      <c r="M217">
        <v>10.799999999999899</v>
      </c>
      <c r="N217">
        <f>extremePos(1, M217)</f>
        <v>3.354136982456065</v>
      </c>
      <c r="P217">
        <f t="shared" si="10"/>
        <v>3.0799999999999779</v>
      </c>
      <c r="Q217">
        <f t="shared" si="9"/>
        <v>1.0580919928643</v>
      </c>
    </row>
    <row r="218" spans="13:17" x14ac:dyDescent="0.2">
      <c r="M218">
        <v>10.899999999999901</v>
      </c>
      <c r="N218">
        <f>extremePos(1, M218)</f>
        <v>3.384005465462069</v>
      </c>
      <c r="P218">
        <f t="shared" si="10"/>
        <v>3.0899999999999777</v>
      </c>
      <c r="Q218">
        <f t="shared" si="9"/>
        <v>1.0610172183895969</v>
      </c>
    </row>
    <row r="219" spans="13:17" x14ac:dyDescent="0.2">
      <c r="M219">
        <v>10.999999999999901</v>
      </c>
      <c r="N219">
        <f>extremePos(1, M219)</f>
        <v>3.4138747686996709</v>
      </c>
      <c r="P219">
        <f t="shared" si="10"/>
        <v>3.0999999999999774</v>
      </c>
      <c r="Q219">
        <f t="shared" si="9"/>
        <v>1.0639429336030051</v>
      </c>
    </row>
    <row r="220" spans="13:17" x14ac:dyDescent="0.2">
      <c r="M220">
        <v>11.0999999999999</v>
      </c>
      <c r="N220">
        <f>extremePos(1, M220)</f>
        <v>3.4437448691669394</v>
      </c>
      <c r="P220">
        <f t="shared" si="10"/>
        <v>3.1099999999999772</v>
      </c>
      <c r="Q220">
        <f t="shared" si="9"/>
        <v>1.0668691330679079</v>
      </c>
    </row>
    <row r="221" spans="13:17" x14ac:dyDescent="0.2">
      <c r="M221">
        <v>11.1999999999999</v>
      </c>
      <c r="N221">
        <f>extremePos(1, M221)</f>
        <v>3.473615744714063</v>
      </c>
      <c r="P221">
        <f t="shared" si="10"/>
        <v>3.119999999999977</v>
      </c>
      <c r="Q221">
        <f t="shared" si="9"/>
        <v>1.0697958114279484</v>
      </c>
    </row>
    <row r="222" spans="13:17" x14ac:dyDescent="0.2">
      <c r="M222">
        <v>11.299999999999899</v>
      </c>
      <c r="N222">
        <f>extremePos(1, M222)</f>
        <v>3.5034873740042607</v>
      </c>
      <c r="P222">
        <f t="shared" si="10"/>
        <v>3.1299999999999768</v>
      </c>
      <c r="Q222">
        <f t="shared" si="9"/>
        <v>1.0727229634055475</v>
      </c>
    </row>
    <row r="223" spans="13:17" x14ac:dyDescent="0.2">
      <c r="M223">
        <v>11.399999999999901</v>
      </c>
      <c r="N223">
        <f>extremePos(1, M223)</f>
        <v>3.5333597364768123</v>
      </c>
      <c r="P223">
        <f t="shared" si="10"/>
        <v>3.1399999999999766</v>
      </c>
      <c r="Q223">
        <f t="shared" si="9"/>
        <v>1.0756505838004609</v>
      </c>
    </row>
    <row r="224" spans="13:17" x14ac:dyDescent="0.2">
      <c r="M224">
        <v>11.499999999999901</v>
      </c>
      <c r="N224">
        <f>extremePos(1, M224)</f>
        <v>3.5632328123120858</v>
      </c>
      <c r="P224">
        <f t="shared" si="10"/>
        <v>3.1499999999999764</v>
      </c>
      <c r="Q224">
        <f t="shared" si="9"/>
        <v>1.0785786674883677</v>
      </c>
    </row>
    <row r="225" spans="13:17" x14ac:dyDescent="0.2">
      <c r="M225">
        <v>11.5999999999999</v>
      </c>
      <c r="N225">
        <f>extremePos(1, M225)</f>
        <v>3.5931065823984607</v>
      </c>
      <c r="P225">
        <f t="shared" si="10"/>
        <v>3.1599999999999762</v>
      </c>
      <c r="Q225">
        <f t="shared" si="9"/>
        <v>1.0815072094194873</v>
      </c>
    </row>
    <row r="226" spans="13:17" x14ac:dyDescent="0.2">
      <c r="M226">
        <v>11.6999999999999</v>
      </c>
      <c r="N226">
        <f>extremePos(1, M226)</f>
        <v>3.6229810283009733</v>
      </c>
      <c r="P226">
        <f t="shared" si="10"/>
        <v>3.1699999999999759</v>
      </c>
      <c r="Q226">
        <f t="shared" si="9"/>
        <v>1.0844362046172253</v>
      </c>
    </row>
    <row r="227" spans="13:17" x14ac:dyDescent="0.2">
      <c r="M227">
        <v>11.799999999999899</v>
      </c>
      <c r="N227">
        <f>extremePos(1, M227)</f>
        <v>3.6528561322316455</v>
      </c>
      <c r="P227">
        <f t="shared" si="10"/>
        <v>3.1799999999999757</v>
      </c>
      <c r="Q227">
        <f t="shared" si="9"/>
        <v>1.087365648176855</v>
      </c>
    </row>
    <row r="228" spans="13:17" x14ac:dyDescent="0.2">
      <c r="M228">
        <v>11.899999999999901</v>
      </c>
      <c r="N228">
        <f>extremePos(1, M228)</f>
        <v>3.6827318770213417</v>
      </c>
      <c r="P228">
        <f t="shared" si="10"/>
        <v>3.1899999999999755</v>
      </c>
      <c r="Q228">
        <f t="shared" si="9"/>
        <v>1.0902955352642212</v>
      </c>
    </row>
    <row r="229" spans="13:17" x14ac:dyDescent="0.2">
      <c r="M229">
        <v>11.999999999999901</v>
      </c>
      <c r="N229">
        <f>extremePos(1, M229)</f>
        <v>3.7126082460930898</v>
      </c>
      <c r="P229">
        <f t="shared" si="10"/>
        <v>3.1999999999999753</v>
      </c>
      <c r="Q229">
        <f t="shared" si="9"/>
        <v>1.0932258611144741</v>
      </c>
    </row>
    <row r="230" spans="13:17" x14ac:dyDescent="0.2">
      <c r="M230">
        <v>12.0999999999999</v>
      </c>
      <c r="N230">
        <f>extremePos(1, M230)</f>
        <v>3.7424852234367676</v>
      </c>
      <c r="P230">
        <f t="shared" si="10"/>
        <v>3.2099999999999751</v>
      </c>
      <c r="Q230">
        <f t="shared" si="9"/>
        <v>1.0961566210308311</v>
      </c>
    </row>
    <row r="231" spans="13:17" x14ac:dyDescent="0.2">
      <c r="M231">
        <v>12.1999999999999</v>
      </c>
      <c r="N231">
        <f>extremePos(1, M231)</f>
        <v>3.7723627935850814</v>
      </c>
      <c r="P231">
        <f t="shared" si="10"/>
        <v>3.2199999999999749</v>
      </c>
      <c r="Q231">
        <f t="shared" si="9"/>
        <v>1.0990878103833643</v>
      </c>
    </row>
    <row r="232" spans="13:17" x14ac:dyDescent="0.2">
      <c r="M232">
        <v>12.299999999999899</v>
      </c>
      <c r="N232">
        <f>extremePos(1, M232)</f>
        <v>3.8022409415907519</v>
      </c>
      <c r="P232">
        <f t="shared" si="10"/>
        <v>3.2299999999999747</v>
      </c>
      <c r="Q232">
        <f t="shared" si="9"/>
        <v>1.1020194246078141</v>
      </c>
    </row>
    <row r="233" spans="13:17" x14ac:dyDescent="0.2">
      <c r="M233">
        <v>12.399999999999901</v>
      </c>
      <c r="N233">
        <f>extremePos(1, M233)</f>
        <v>3.8321196530048391</v>
      </c>
      <c r="P233">
        <f t="shared" si="10"/>
        <v>3.2399999999999745</v>
      </c>
      <c r="Q233">
        <f t="shared" si="9"/>
        <v>1.1049514592044281</v>
      </c>
    </row>
    <row r="234" spans="13:17" x14ac:dyDescent="0.2">
      <c r="M234">
        <v>12.499999999999901</v>
      </c>
      <c r="N234">
        <f>extremePos(1, M234)</f>
        <v>3.8619989138561461</v>
      </c>
      <c r="P234">
        <f t="shared" si="10"/>
        <v>3.2499999999999742</v>
      </c>
      <c r="Q234">
        <f t="shared" si="9"/>
        <v>1.1078839097368229</v>
      </c>
    </row>
    <row r="235" spans="13:17" x14ac:dyDescent="0.2">
      <c r="M235">
        <v>12.5999999999999</v>
      </c>
      <c r="N235">
        <f>extremePos(1, M235)</f>
        <v>3.8918787106316395</v>
      </c>
      <c r="P235">
        <f t="shared" si="10"/>
        <v>3.259999999999974</v>
      </c>
      <c r="Q235">
        <f t="shared" si="9"/>
        <v>1.1108167718308737</v>
      </c>
    </row>
    <row r="236" spans="13:17" x14ac:dyDescent="0.2">
      <c r="M236">
        <v>12.6999999999999</v>
      </c>
      <c r="N236">
        <f>extremePos(1, M236)</f>
        <v>3.9217590302578169</v>
      </c>
      <c r="P236">
        <f t="shared" si="10"/>
        <v>3.2699999999999738</v>
      </c>
      <c r="Q236">
        <f t="shared" si="9"/>
        <v>1.1137500411736241</v>
      </c>
    </row>
    <row r="237" spans="13:17" x14ac:dyDescent="0.2">
      <c r="M237">
        <v>12.799999999999899</v>
      </c>
      <c r="N237">
        <f>extremePos(1, M237)</f>
        <v>3.951639860082981</v>
      </c>
      <c r="P237">
        <f t="shared" si="10"/>
        <v>3.2799999999999736</v>
      </c>
      <c r="Q237">
        <f t="shared" si="9"/>
        <v>1.1166837135122185</v>
      </c>
    </row>
    <row r="238" spans="13:17" x14ac:dyDescent="0.2">
      <c r="M238">
        <v>12.899999999999901</v>
      </c>
      <c r="N238">
        <f>extremePos(1, M238)</f>
        <v>3.9815211878603654</v>
      </c>
      <c r="P238">
        <f t="shared" si="10"/>
        <v>3.2899999999999734</v>
      </c>
      <c r="Q238">
        <f t="shared" si="9"/>
        <v>1.1196177846528594</v>
      </c>
    </row>
    <row r="239" spans="13:17" x14ac:dyDescent="0.2">
      <c r="M239">
        <v>12.999999999999901</v>
      </c>
      <c r="N239">
        <f>extremePos(1, M239)</f>
        <v>4.011403001732055</v>
      </c>
      <c r="P239">
        <f t="shared" si="10"/>
        <v>3.2999999999999732</v>
      </c>
      <c r="Q239">
        <f t="shared" si="9"/>
        <v>1.122552250459784</v>
      </c>
    </row>
    <row r="240" spans="13:17" x14ac:dyDescent="0.2">
      <c r="M240">
        <v>13.0999999999999</v>
      </c>
      <c r="N240">
        <f>extremePos(1, M240)</f>
        <v>4.0412852902136871</v>
      </c>
      <c r="P240">
        <f t="shared" si="10"/>
        <v>3.309999999999973</v>
      </c>
      <c r="Q240">
        <f t="shared" si="9"/>
        <v>1.1254871068542633</v>
      </c>
    </row>
    <row r="241" spans="13:17" x14ac:dyDescent="0.2">
      <c r="M241">
        <v>13.1999999999999</v>
      </c>
      <c r="N241">
        <f>extremePos(1, M241)</f>
        <v>4.0711680421798464</v>
      </c>
      <c r="P241">
        <f t="shared" si="10"/>
        <v>3.3199999999999728</v>
      </c>
      <c r="Q241">
        <f t="shared" si="9"/>
        <v>1.1284223498136212</v>
      </c>
    </row>
    <row r="242" spans="13:17" x14ac:dyDescent="0.2">
      <c r="M242">
        <v>13.299999999999899</v>
      </c>
      <c r="N242">
        <f>extremePos(1, M242)</f>
        <v>4.1010512468501519</v>
      </c>
      <c r="P242">
        <f t="shared" si="10"/>
        <v>3.3299999999999725</v>
      </c>
      <c r="Q242">
        <f t="shared" si="9"/>
        <v>1.1313579753702738</v>
      </c>
    </row>
    <row r="243" spans="13:17" x14ac:dyDescent="0.2">
      <c r="M243">
        <v>13.399999999999901</v>
      </c>
      <c r="N243">
        <f>extremePos(1, M243)</f>
        <v>4.130934893775982</v>
      </c>
      <c r="P243">
        <f t="shared" si="10"/>
        <v>3.3399999999999723</v>
      </c>
      <c r="Q243">
        <f t="shared" si="9"/>
        <v>1.1342939796107894</v>
      </c>
    </row>
    <row r="244" spans="13:17" x14ac:dyDescent="0.2">
      <c r="M244">
        <v>13.499999999999901</v>
      </c>
      <c r="N244">
        <f>extremePos(1, M244)</f>
        <v>4.1608189728278191</v>
      </c>
      <c r="P244">
        <f t="shared" si="10"/>
        <v>3.3499999999999721</v>
      </c>
      <c r="Q244">
        <f t="shared" si="9"/>
        <v>1.1372303586749661</v>
      </c>
    </row>
    <row r="245" spans="13:17" x14ac:dyDescent="0.2">
      <c r="M245">
        <v>13.5999999999999</v>
      </c>
      <c r="N245">
        <f>extremePos(1, M245)</f>
        <v>4.190703474183147</v>
      </c>
      <c r="P245">
        <f t="shared" si="10"/>
        <v>3.3599999999999719</v>
      </c>
      <c r="Q245">
        <f t="shared" si="9"/>
        <v>1.1401671087549305</v>
      </c>
    </row>
    <row r="246" spans="13:17" x14ac:dyDescent="0.2">
      <c r="M246">
        <v>13.6999999999999</v>
      </c>
      <c r="N246">
        <f>extremePos(1, M246)</f>
        <v>4.2205883883149138</v>
      </c>
      <c r="P246">
        <f t="shared" si="10"/>
        <v>3.3699999999999717</v>
      </c>
      <c r="Q246">
        <f t="shared" si="9"/>
        <v>1.1431042260942501</v>
      </c>
    </row>
    <row r="247" spans="13:17" x14ac:dyDescent="0.2">
      <c r="M247">
        <v>13.799999999999899</v>
      </c>
      <c r="N247">
        <f>extremePos(1, M247)</f>
        <v>4.2504737059805064</v>
      </c>
      <c r="P247">
        <f t="shared" si="10"/>
        <v>3.3799999999999715</v>
      </c>
      <c r="Q247">
        <f t="shared" si="9"/>
        <v>1.146041706987071</v>
      </c>
    </row>
    <row r="248" spans="13:17" x14ac:dyDescent="0.2">
      <c r="M248">
        <v>13.899999999999901</v>
      </c>
      <c r="N248">
        <f>extremePos(1, M248)</f>
        <v>4.2803594182112068</v>
      </c>
      <c r="P248">
        <f t="shared" si="10"/>
        <v>3.3899999999999713</v>
      </c>
      <c r="Q248">
        <f t="shared" si="9"/>
        <v>1.148979547777266</v>
      </c>
    </row>
    <row r="249" spans="13:17" x14ac:dyDescent="0.2">
      <c r="M249">
        <v>13.999999999999901</v>
      </c>
      <c r="N249">
        <f>extremePos(1, M249)</f>
        <v>4.3102455163021336</v>
      </c>
      <c r="P249">
        <f t="shared" si="10"/>
        <v>3.399999999999971</v>
      </c>
      <c r="Q249">
        <f t="shared" si="9"/>
        <v>1.151917744857603</v>
      </c>
    </row>
    <row r="250" spans="13:17" x14ac:dyDescent="0.2">
      <c r="M250">
        <v>14.0999999999999</v>
      </c>
      <c r="N250">
        <f>extremePos(1, M250)</f>
        <v>4.3401319918025942</v>
      </c>
      <c r="P250">
        <f t="shared" si="10"/>
        <v>3.4099999999999708</v>
      </c>
      <c r="Q250">
        <f t="shared" si="9"/>
        <v>1.1548562946689309</v>
      </c>
    </row>
    <row r="251" spans="13:17" x14ac:dyDescent="0.2">
      <c r="M251">
        <v>14.1999999999999</v>
      </c>
      <c r="N251">
        <f>extremePos(1, M251)</f>
        <v>4.3700188365068904</v>
      </c>
      <c r="P251">
        <f t="shared" si="10"/>
        <v>3.4199999999999706</v>
      </c>
      <c r="Q251">
        <f t="shared" si="9"/>
        <v>1.1577951936993791</v>
      </c>
    </row>
    <row r="252" spans="13:17" x14ac:dyDescent="0.2">
      <c r="M252">
        <v>14.299999999999899</v>
      </c>
      <c r="N252">
        <f>extremePos(1, M252)</f>
        <v>4.3999060424454886</v>
      </c>
      <c r="P252">
        <f t="shared" si="10"/>
        <v>3.4299999999999704</v>
      </c>
      <c r="Q252">
        <f t="shared" si="9"/>
        <v>1.1607344384835747</v>
      </c>
    </row>
    <row r="253" spans="13:17" x14ac:dyDescent="0.2">
      <c r="M253">
        <v>14.399999999999901</v>
      </c>
      <c r="N253">
        <f>extremePos(1, M253)</f>
        <v>4.4297936018765958</v>
      </c>
      <c r="P253">
        <f t="shared" si="10"/>
        <v>3.4399999999999702</v>
      </c>
      <c r="Q253">
        <f t="shared" si="9"/>
        <v>1.1636740256018752</v>
      </c>
    </row>
    <row r="254" spans="13:17" x14ac:dyDescent="0.2">
      <c r="M254">
        <v>14.499999999999901</v>
      </c>
      <c r="N254">
        <f>extremePos(1, M254)</f>
        <v>4.4596815072780789</v>
      </c>
      <c r="P254">
        <f t="shared" si="10"/>
        <v>3.44999999999997</v>
      </c>
      <c r="Q254">
        <f t="shared" si="9"/>
        <v>1.1666139516796168</v>
      </c>
    </row>
    <row r="255" spans="13:17" x14ac:dyDescent="0.2">
      <c r="M255">
        <v>14.5999999999999</v>
      </c>
      <c r="N255">
        <f>extremePos(1, M255)</f>
        <v>4.4895697513397241</v>
      </c>
      <c r="P255">
        <f t="shared" si="10"/>
        <v>3.4599999999999698</v>
      </c>
      <c r="Q255">
        <f t="shared" si="9"/>
        <v>1.169554213386375</v>
      </c>
    </row>
    <row r="256" spans="13:17" x14ac:dyDescent="0.2">
      <c r="M256">
        <v>14.6999999999999</v>
      </c>
      <c r="N256">
        <f>extremePos(1, M256)</f>
        <v>4.5194583269558333</v>
      </c>
      <c r="P256">
        <f t="shared" si="10"/>
        <v>3.4699999999999696</v>
      </c>
      <c r="Q256">
        <f t="shared" si="9"/>
        <v>1.1724948074352426</v>
      </c>
    </row>
    <row r="257" spans="13:17" x14ac:dyDescent="0.2">
      <c r="M257">
        <v>14.799999999999899</v>
      </c>
      <c r="N257">
        <f>extremePos(1, M257)</f>
        <v>4.5493472272181137</v>
      </c>
      <c r="P257">
        <f t="shared" si="10"/>
        <v>3.4799999999999693</v>
      </c>
      <c r="Q257">
        <f t="shared" si="9"/>
        <v>1.1754357305821204</v>
      </c>
    </row>
    <row r="258" spans="13:17" x14ac:dyDescent="0.2">
      <c r="M258">
        <v>14.899999999999901</v>
      </c>
      <c r="N258">
        <f>extremePos(1, M258)</f>
        <v>4.5792364454088794</v>
      </c>
      <c r="P258">
        <f t="shared" si="10"/>
        <v>3.4899999999999691</v>
      </c>
      <c r="Q258">
        <f t="shared" si="9"/>
        <v>1.1783769796250214</v>
      </c>
    </row>
    <row r="259" spans="13:17" x14ac:dyDescent="0.2">
      <c r="M259">
        <v>14.999999999999901</v>
      </c>
      <c r="N259">
        <f>extremePos(1, M259)</f>
        <v>4.6091259749945133</v>
      </c>
      <c r="P259">
        <f t="shared" si="10"/>
        <v>3.4999999999999689</v>
      </c>
      <c r="Q259">
        <f t="shared" si="9"/>
        <v>1.1813185514033926</v>
      </c>
    </row>
    <row r="260" spans="13:17" x14ac:dyDescent="0.2">
      <c r="M260">
        <v>15.0999999999999</v>
      </c>
      <c r="N260">
        <f>extremePos(1, M260)</f>
        <v>4.6390158096192105</v>
      </c>
      <c r="P260">
        <f t="shared" si="10"/>
        <v>3.5099999999999687</v>
      </c>
      <c r="Q260">
        <f t="shared" si="9"/>
        <v>1.1842604427974401</v>
      </c>
    </row>
    <row r="261" spans="13:17" x14ac:dyDescent="0.2">
      <c r="M261">
        <v>15.1999999999999</v>
      </c>
      <c r="N261">
        <f>extremePos(1, M261)</f>
        <v>4.6689059430989666</v>
      </c>
      <c r="P261">
        <f t="shared" si="10"/>
        <v>3.5199999999999685</v>
      </c>
      <c r="Q261">
        <f t="shared" si="9"/>
        <v>1.1872026507274793</v>
      </c>
    </row>
    <row r="262" spans="13:17" x14ac:dyDescent="0.2">
      <c r="M262">
        <v>15.299999999999899</v>
      </c>
      <c r="N262">
        <f>extremePos(1, M262)</f>
        <v>4.6987963694158195</v>
      </c>
      <c r="P262">
        <f t="shared" si="10"/>
        <v>3.5299999999999683</v>
      </c>
      <c r="Q262">
        <f t="shared" si="9"/>
        <v>1.1901451721532901</v>
      </c>
    </row>
    <row r="263" spans="13:17" x14ac:dyDescent="0.2">
      <c r="M263">
        <v>15.399999999999901</v>
      </c>
      <c r="N263">
        <f>extremePos(1, M263)</f>
        <v>4.7286870827123018</v>
      </c>
      <c r="P263">
        <f t="shared" si="10"/>
        <v>3.5399999999999681</v>
      </c>
      <c r="Q263">
        <f t="shared" si="9"/>
        <v>1.1930880040734848</v>
      </c>
    </row>
    <row r="264" spans="13:17" x14ac:dyDescent="0.2">
      <c r="M264">
        <v>15.499999999999901</v>
      </c>
      <c r="N264">
        <f>extremePos(1, M264)</f>
        <v>4.7585780772861384</v>
      </c>
      <c r="P264">
        <f t="shared" si="10"/>
        <v>3.5499999999999678</v>
      </c>
      <c r="Q264">
        <f t="shared" si="9"/>
        <v>1.1960311435248923</v>
      </c>
    </row>
    <row r="265" spans="13:17" x14ac:dyDescent="0.2">
      <c r="M265">
        <v>15.5999999999999</v>
      </c>
      <c r="N265">
        <f>extremePos(1, M265)</f>
        <v>4.7884693475851252</v>
      </c>
      <c r="P265">
        <f t="shared" si="10"/>
        <v>3.5599999999999676</v>
      </c>
      <c r="Q265">
        <f t="shared" si="9"/>
        <v>1.1989745875819489</v>
      </c>
    </row>
    <row r="266" spans="13:17" x14ac:dyDescent="0.2">
      <c r="M266">
        <v>15.6999999999999</v>
      </c>
      <c r="N266">
        <f>extremePos(1, M266)</f>
        <v>4.8183608882022488</v>
      </c>
      <c r="P266">
        <f t="shared" si="10"/>
        <v>3.5699999999999674</v>
      </c>
      <c r="Q266">
        <f t="shared" ref="Q266:Q302" si="11">extremePos(1, P266)</f>
        <v>1.2019183333561054</v>
      </c>
    </row>
    <row r="267" spans="13:17" x14ac:dyDescent="0.2">
      <c r="M267">
        <v>15.799999999999899</v>
      </c>
      <c r="N267">
        <f>extremePos(1, M267)</f>
        <v>4.8482526938709372</v>
      </c>
      <c r="P267">
        <f t="shared" ref="P267:P301" si="12">P266+0.01</f>
        <v>3.5799999999999672</v>
      </c>
      <c r="Q267">
        <f t="shared" si="11"/>
        <v>1.2048623779952412</v>
      </c>
    </row>
    <row r="268" spans="13:17" x14ac:dyDescent="0.2">
      <c r="M268">
        <v>15.899999999999901</v>
      </c>
      <c r="N268">
        <f>extremePos(1, M268)</f>
        <v>4.878144759460568</v>
      </c>
      <c r="P268">
        <f t="shared" si="12"/>
        <v>3.589999999999967</v>
      </c>
      <c r="Q268">
        <f t="shared" si="11"/>
        <v>1.2078067186830925</v>
      </c>
    </row>
    <row r="269" spans="13:17" x14ac:dyDescent="0.2">
      <c r="M269">
        <v>15.999999999999901</v>
      </c>
      <c r="N269">
        <f>extremePos(1, M269)</f>
        <v>4.9080370799720656</v>
      </c>
      <c r="P269">
        <f t="shared" si="12"/>
        <v>3.5999999999999668</v>
      </c>
      <c r="Q269">
        <f t="shared" si="11"/>
        <v>1.2107513526386902</v>
      </c>
    </row>
    <row r="270" spans="13:17" x14ac:dyDescent="0.2">
      <c r="M270">
        <v>16.099999999999898</v>
      </c>
      <c r="N270">
        <f>extremePos(1, M270)</f>
        <v>4.9379296505337607</v>
      </c>
      <c r="P270">
        <f t="shared" si="12"/>
        <v>3.6099999999999666</v>
      </c>
      <c r="Q270">
        <f t="shared" si="11"/>
        <v>1.2136962771158066</v>
      </c>
    </row>
    <row r="271" spans="13:17" x14ac:dyDescent="0.2">
      <c r="M271">
        <v>16.1999999999999</v>
      </c>
      <c r="N271">
        <f>extremePos(1, M271)</f>
        <v>4.9678224663973207</v>
      </c>
      <c r="P271">
        <f t="shared" si="12"/>
        <v>3.6199999999999664</v>
      </c>
      <c r="Q271">
        <f t="shared" si="11"/>
        <v>1.2166414894024182</v>
      </c>
    </row>
    <row r="272" spans="13:17" x14ac:dyDescent="0.2">
      <c r="M272">
        <v>16.299999999999901</v>
      </c>
      <c r="N272">
        <f>extremePos(1, M272)</f>
        <v>4.9977155229338841</v>
      </c>
      <c r="P272">
        <f t="shared" si="12"/>
        <v>3.6299999999999661</v>
      </c>
      <c r="Q272">
        <f t="shared" si="11"/>
        <v>1.2195869868201696</v>
      </c>
    </row>
    <row r="273" spans="13:17" x14ac:dyDescent="0.2">
      <c r="M273">
        <v>16.399999999999899</v>
      </c>
      <c r="N273">
        <f>extremePos(1, M273)</f>
        <v>5.0276088156303267</v>
      </c>
      <c r="P273">
        <f t="shared" si="12"/>
        <v>3.6399999999999659</v>
      </c>
      <c r="Q273">
        <f t="shared" si="11"/>
        <v>1.2225327667238564</v>
      </c>
    </row>
    <row r="274" spans="13:17" x14ac:dyDescent="0.2">
      <c r="M274">
        <v>16.499999999999901</v>
      </c>
      <c r="N274">
        <f>extremePos(1, M274)</f>
        <v>5.0575023400856614</v>
      </c>
      <c r="P274">
        <f t="shared" si="12"/>
        <v>3.6499999999999657</v>
      </c>
      <c r="Q274">
        <f t="shared" si="11"/>
        <v>1.2254788265009102</v>
      </c>
    </row>
    <row r="275" spans="13:17" x14ac:dyDescent="0.2">
      <c r="M275">
        <v>16.599999999999898</v>
      </c>
      <c r="N275">
        <f>extremePos(1, M275)</f>
        <v>5.0873960920075874</v>
      </c>
      <c r="P275">
        <f t="shared" si="12"/>
        <v>3.6599999999999655</v>
      </c>
      <c r="Q275">
        <f t="shared" si="11"/>
        <v>1.2284251635708996</v>
      </c>
    </row>
    <row r="276" spans="13:17" x14ac:dyDescent="0.2">
      <c r="M276">
        <v>16.6999999999999</v>
      </c>
      <c r="N276">
        <f>extremePos(1, M276)</f>
        <v>5.1172900672091455</v>
      </c>
      <c r="P276">
        <f t="shared" si="12"/>
        <v>3.6699999999999653</v>
      </c>
      <c r="Q276">
        <f t="shared" si="11"/>
        <v>1.2313717753850353</v>
      </c>
    </row>
    <row r="277" spans="13:17" x14ac:dyDescent="0.2">
      <c r="M277">
        <v>16.799999999999901</v>
      </c>
      <c r="N277">
        <f>extremePos(1, M277)</f>
        <v>5.1471842616055117</v>
      </c>
      <c r="P277">
        <f t="shared" si="12"/>
        <v>3.6799999999999651</v>
      </c>
      <c r="Q277">
        <f t="shared" si="11"/>
        <v>1.2343186594256865</v>
      </c>
    </row>
    <row r="278" spans="13:17" x14ac:dyDescent="0.2">
      <c r="M278">
        <v>16.899999999999899</v>
      </c>
      <c r="N278">
        <f>extremePos(1, M278)</f>
        <v>5.1770786712108983</v>
      </c>
      <c r="P278">
        <f t="shared" si="12"/>
        <v>3.6899999999999649</v>
      </c>
      <c r="Q278">
        <f t="shared" si="11"/>
        <v>1.2372658132059062</v>
      </c>
    </row>
    <row r="279" spans="13:17" x14ac:dyDescent="0.2">
      <c r="M279">
        <v>16.999999999999901</v>
      </c>
      <c r="N279">
        <f>extremePos(1, M279)</f>
        <v>5.2069732921355705</v>
      </c>
      <c r="P279">
        <f t="shared" si="12"/>
        <v>3.6999999999999647</v>
      </c>
      <c r="Q279">
        <f t="shared" si="11"/>
        <v>1.2402132342689642</v>
      </c>
    </row>
    <row r="280" spans="13:17" x14ac:dyDescent="0.2">
      <c r="M280">
        <v>17.099999999999898</v>
      </c>
      <c r="N280">
        <f>extremePos(1, M280)</f>
        <v>5.2368681205829741</v>
      </c>
      <c r="P280">
        <f t="shared" si="12"/>
        <v>3.7099999999999644</v>
      </c>
      <c r="Q280">
        <f t="shared" si="11"/>
        <v>1.2431609201878915</v>
      </c>
    </row>
    <row r="281" spans="13:17" x14ac:dyDescent="0.2">
      <c r="M281">
        <v>17.1999999999999</v>
      </c>
      <c r="N281">
        <f>extremePos(1, M281)</f>
        <v>5.2667631528469609</v>
      </c>
      <c r="P281">
        <f t="shared" si="12"/>
        <v>3.7199999999999642</v>
      </c>
      <c r="Q281">
        <f t="shared" si="11"/>
        <v>1.2461088685650288</v>
      </c>
    </row>
    <row r="282" spans="13:17" x14ac:dyDescent="0.2">
      <c r="M282">
        <v>17.299999999999901</v>
      </c>
      <c r="N282">
        <f>extremePos(1, M282)</f>
        <v>5.2966583853091089</v>
      </c>
      <c r="P282">
        <f t="shared" si="12"/>
        <v>3.729999999999964</v>
      </c>
      <c r="Q282">
        <f t="shared" si="11"/>
        <v>1.249057077031583</v>
      </c>
    </row>
    <row r="283" spans="13:17" x14ac:dyDescent="0.2">
      <c r="M283">
        <v>17.399999999999899</v>
      </c>
      <c r="N283">
        <f>extremePos(1, M283)</f>
        <v>5.3265538144361466</v>
      </c>
      <c r="P283">
        <f t="shared" si="12"/>
        <v>3.7399999999999638</v>
      </c>
      <c r="Q283">
        <f t="shared" si="11"/>
        <v>1.2520055432471997</v>
      </c>
    </row>
    <row r="284" spans="13:17" x14ac:dyDescent="0.2">
      <c r="M284">
        <v>17.499999999999901</v>
      </c>
      <c r="N284">
        <f>extremePos(1, M284)</f>
        <v>5.3564494367774653</v>
      </c>
      <c r="P284">
        <f t="shared" si="12"/>
        <v>3.7499999999999636</v>
      </c>
      <c r="Q284">
        <f t="shared" si="11"/>
        <v>1.2549542648995329</v>
      </c>
    </row>
    <row r="285" spans="13:17" x14ac:dyDescent="0.2">
      <c r="M285">
        <v>17.599999999999898</v>
      </c>
      <c r="N285">
        <f>extremePos(1, M285)</f>
        <v>5.3863452489627024</v>
      </c>
      <c r="P285">
        <f t="shared" si="12"/>
        <v>3.7599999999999634</v>
      </c>
      <c r="Q285">
        <f t="shared" si="11"/>
        <v>1.2579032397038259</v>
      </c>
    </row>
    <row r="286" spans="13:17" x14ac:dyDescent="0.2">
      <c r="M286">
        <v>17.6999999999999</v>
      </c>
      <c r="N286">
        <f>extremePos(1, M286)</f>
        <v>5.4162412476994399</v>
      </c>
      <c r="P286">
        <f t="shared" si="12"/>
        <v>3.7699999999999632</v>
      </c>
      <c r="Q286">
        <f t="shared" si="11"/>
        <v>1.2608524654025064</v>
      </c>
    </row>
    <row r="287" spans="13:17" x14ac:dyDescent="0.2">
      <c r="M287">
        <v>17.799999999999901</v>
      </c>
      <c r="N287">
        <f>extremePos(1, M287)</f>
        <v>5.4461374297709551</v>
      </c>
      <c r="P287">
        <f t="shared" si="12"/>
        <v>3.7799999999999629</v>
      </c>
      <c r="Q287">
        <f t="shared" si="11"/>
        <v>1.2638019397647782</v>
      </c>
    </row>
    <row r="288" spans="13:17" x14ac:dyDescent="0.2">
      <c r="M288">
        <v>17.899999999999899</v>
      </c>
      <c r="N288">
        <f>extremePos(1, M288)</f>
        <v>5.4760337920340536</v>
      </c>
      <c r="P288">
        <f t="shared" si="12"/>
        <v>3.7899999999999627</v>
      </c>
      <c r="Q288">
        <f t="shared" si="11"/>
        <v>1.2667516605862259</v>
      </c>
    </row>
    <row r="289" spans="13:17" x14ac:dyDescent="0.2">
      <c r="M289">
        <v>17.999999999999901</v>
      </c>
      <c r="N289">
        <f>extremePos(1, M289)</f>
        <v>5.5059303314169901</v>
      </c>
      <c r="P289">
        <f t="shared" si="12"/>
        <v>3.7999999999999625</v>
      </c>
      <c r="Q289">
        <f t="shared" si="11"/>
        <v>1.2697016256884279</v>
      </c>
    </row>
    <row r="290" spans="13:17" x14ac:dyDescent="0.2">
      <c r="M290">
        <v>18.099999999999898</v>
      </c>
      <c r="N290">
        <f>extremePos(1, M290)</f>
        <v>5.5358270449174443</v>
      </c>
      <c r="P290">
        <f t="shared" si="12"/>
        <v>3.8099999999999623</v>
      </c>
      <c r="Q290">
        <f t="shared" si="11"/>
        <v>1.2726518329185732</v>
      </c>
    </row>
    <row r="291" spans="13:17" x14ac:dyDescent="0.2">
      <c r="M291">
        <v>18.1999999999999</v>
      </c>
      <c r="N291">
        <f>extremePos(1, M291)</f>
        <v>5.5657239296005656</v>
      </c>
      <c r="P291">
        <f t="shared" si="12"/>
        <v>3.8199999999999621</v>
      </c>
      <c r="Q291">
        <f t="shared" si="11"/>
        <v>1.2756022801490852</v>
      </c>
    </row>
    <row r="292" spans="13:17" x14ac:dyDescent="0.2">
      <c r="M292">
        <v>18.299999999999901</v>
      </c>
      <c r="N292">
        <f>extremePos(1, M292)</f>
        <v>5.5956209825970991</v>
      </c>
      <c r="P292">
        <f t="shared" si="12"/>
        <v>3.8299999999999619</v>
      </c>
      <c r="Q292">
        <f t="shared" si="11"/>
        <v>1.2785529652772532</v>
      </c>
    </row>
    <row r="293" spans="13:17" x14ac:dyDescent="0.2">
      <c r="M293">
        <v>18.399999999999899</v>
      </c>
      <c r="N293">
        <f>extremePos(1, M293)</f>
        <v>5.6255182011015554</v>
      </c>
      <c r="P293">
        <f t="shared" si="12"/>
        <v>3.8399999999999617</v>
      </c>
      <c r="Q293">
        <f t="shared" si="11"/>
        <v>1.2815038862248702</v>
      </c>
    </row>
    <row r="294" spans="13:17" x14ac:dyDescent="0.2">
      <c r="M294">
        <v>18.499999999999901</v>
      </c>
      <c r="N294">
        <f>extremePos(1, M294)</f>
        <v>5.6554155823704519</v>
      </c>
      <c r="P294">
        <f t="shared" si="12"/>
        <v>3.8499999999999615</v>
      </c>
      <c r="Q294">
        <f t="shared" si="11"/>
        <v>1.2844550409378777</v>
      </c>
    </row>
    <row r="295" spans="13:17" x14ac:dyDescent="0.2">
      <c r="M295">
        <v>18.599999999999898</v>
      </c>
      <c r="N295">
        <f>extremePos(1, M295)</f>
        <v>5.6853131237206105</v>
      </c>
      <c r="P295">
        <f t="shared" si="12"/>
        <v>3.8599999999999612</v>
      </c>
      <c r="Q295">
        <f t="shared" si="11"/>
        <v>1.2874064273860131</v>
      </c>
    </row>
    <row r="296" spans="13:17" x14ac:dyDescent="0.2">
      <c r="M296">
        <v>18.6999999999999</v>
      </c>
      <c r="N296">
        <f>extremePos(1, M296)</f>
        <v>5.7152108225275056</v>
      </c>
      <c r="P296">
        <f t="shared" si="12"/>
        <v>3.869999999999961</v>
      </c>
      <c r="Q296">
        <f t="shared" si="11"/>
        <v>1.2903580435624691</v>
      </c>
    </row>
    <row r="297" spans="13:17" x14ac:dyDescent="0.2">
      <c r="M297">
        <v>18.799999999999901</v>
      </c>
      <c r="N297">
        <f>extremePos(1, M297)</f>
        <v>5.7451086762236701</v>
      </c>
      <c r="P297">
        <f t="shared" si="12"/>
        <v>3.8799999999999608</v>
      </c>
      <c r="Q297">
        <f t="shared" si="11"/>
        <v>1.293309887483554</v>
      </c>
    </row>
    <row r="298" spans="13:17" x14ac:dyDescent="0.2">
      <c r="M298">
        <v>18.899999999999899</v>
      </c>
      <c r="N298">
        <f>extremePos(1, M298)</f>
        <v>5.7750066822971569</v>
      </c>
      <c r="P298">
        <f t="shared" si="12"/>
        <v>3.8899999999999606</v>
      </c>
      <c r="Q298">
        <f t="shared" si="11"/>
        <v>1.2962619571883589</v>
      </c>
    </row>
    <row r="299" spans="13:17" x14ac:dyDescent="0.2">
      <c r="M299">
        <v>18.999999999999901</v>
      </c>
      <c r="N299">
        <f>extremePos(1, M299)</f>
        <v>5.8049048382900494</v>
      </c>
      <c r="P299">
        <f t="shared" si="12"/>
        <v>3.8999999999999604</v>
      </c>
      <c r="Q299">
        <f t="shared" si="11"/>
        <v>1.2992142507384334</v>
      </c>
    </row>
    <row r="300" spans="13:17" x14ac:dyDescent="0.2">
      <c r="M300">
        <v>19.099999999999898</v>
      </c>
      <c r="N300">
        <f>extremePos(1, M300)</f>
        <v>5.8348031417970061</v>
      </c>
      <c r="P300">
        <f t="shared" si="12"/>
        <v>3.9099999999999602</v>
      </c>
      <c r="Q300">
        <f t="shared" si="11"/>
        <v>1.3021667662174647</v>
      </c>
    </row>
    <row r="301" spans="13:17" x14ac:dyDescent="0.2">
      <c r="M301">
        <v>19.1999999999999</v>
      </c>
      <c r="N301">
        <f>extremePos(1, M301)</f>
        <v>5.86470159046387</v>
      </c>
      <c r="P301">
        <f t="shared" si="12"/>
        <v>3.91999999999996</v>
      </c>
      <c r="Q301">
        <f t="shared" si="11"/>
        <v>1.30511950173096</v>
      </c>
    </row>
    <row r="302" spans="13:17" x14ac:dyDescent="0.2">
      <c r="M302">
        <v>19.299999999999901</v>
      </c>
      <c r="N302">
        <f t="shared" ref="N302:N365" si="13">extremePos(1, M302)</f>
        <v>5.8946001819863127</v>
      </c>
    </row>
    <row r="303" spans="13:17" x14ac:dyDescent="0.2">
      <c r="M303">
        <v>19.399999999999899</v>
      </c>
      <c r="N303">
        <f t="shared" si="13"/>
        <v>5.9244989141085211</v>
      </c>
    </row>
    <row r="304" spans="13:17" x14ac:dyDescent="0.2">
      <c r="M304">
        <v>19.499999999999901</v>
      </c>
      <c r="N304">
        <f t="shared" si="13"/>
        <v>5.954397784621932</v>
      </c>
    </row>
    <row r="305" spans="13:14" x14ac:dyDescent="0.2">
      <c r="M305">
        <v>19.599999999999898</v>
      </c>
      <c r="N305">
        <f t="shared" si="13"/>
        <v>5.9842967913639953</v>
      </c>
    </row>
    <row r="306" spans="13:14" x14ac:dyDescent="0.2">
      <c r="M306">
        <v>19.6999999999999</v>
      </c>
      <c r="N306">
        <f t="shared" si="13"/>
        <v>6.0141959322169827</v>
      </c>
    </row>
    <row r="307" spans="13:14" x14ac:dyDescent="0.2">
      <c r="M307">
        <v>19.799999999999901</v>
      </c>
      <c r="N307">
        <f t="shared" si="13"/>
        <v>6.0440952051068431</v>
      </c>
    </row>
    <row r="308" spans="13:14" x14ac:dyDescent="0.2">
      <c r="M308">
        <v>19.899999999999899</v>
      </c>
      <c r="N308">
        <f t="shared" si="13"/>
        <v>6.0739946080020628</v>
      </c>
    </row>
    <row r="309" spans="13:14" x14ac:dyDescent="0.2">
      <c r="M309">
        <v>19.999999999999901</v>
      </c>
      <c r="N309">
        <f t="shared" si="13"/>
        <v>6.1038941389126045</v>
      </c>
    </row>
    <row r="310" spans="13:14" x14ac:dyDescent="0.2">
      <c r="M310">
        <v>20.099999999999898</v>
      </c>
      <c r="N310">
        <f t="shared" si="13"/>
        <v>6.1337937958888267</v>
      </c>
    </row>
    <row r="311" spans="13:14" x14ac:dyDescent="0.2">
      <c r="M311">
        <v>20.1999999999999</v>
      </c>
      <c r="N311">
        <f t="shared" si="13"/>
        <v>6.1636935770204904</v>
      </c>
    </row>
    <row r="312" spans="13:14" x14ac:dyDescent="0.2">
      <c r="M312">
        <v>20.299999999999901</v>
      </c>
      <c r="N312">
        <f t="shared" si="13"/>
        <v>6.1935934804357489</v>
      </c>
    </row>
    <row r="313" spans="13:14" x14ac:dyDescent="0.2">
      <c r="M313">
        <v>20.399999999999899</v>
      </c>
      <c r="N313">
        <f t="shared" si="13"/>
        <v>6.2234935043001975</v>
      </c>
    </row>
    <row r="314" spans="13:14" x14ac:dyDescent="0.2">
      <c r="M314">
        <v>20.499999999999901</v>
      </c>
      <c r="N314">
        <f t="shared" si="13"/>
        <v>6.2533936468159457</v>
      </c>
    </row>
    <row r="315" spans="13:14" x14ac:dyDescent="0.2">
      <c r="M315">
        <v>20.599999999999898</v>
      </c>
      <c r="N315">
        <f t="shared" si="13"/>
        <v>6.2832939062207043</v>
      </c>
    </row>
    <row r="316" spans="13:14" x14ac:dyDescent="0.2">
      <c r="M316">
        <v>20.6999999999999</v>
      </c>
      <c r="N316">
        <f t="shared" si="13"/>
        <v>6.3131942807869095</v>
      </c>
    </row>
    <row r="317" spans="13:14" x14ac:dyDescent="0.2">
      <c r="M317">
        <v>20.799999999999901</v>
      </c>
      <c r="N317">
        <f t="shared" si="13"/>
        <v>6.3430947688208761</v>
      </c>
    </row>
    <row r="318" spans="13:14" x14ac:dyDescent="0.2">
      <c r="M318">
        <v>20.899999999999899</v>
      </c>
      <c r="N318">
        <f t="shared" si="13"/>
        <v>6.372995368661968</v>
      </c>
    </row>
    <row r="319" spans="13:14" x14ac:dyDescent="0.2">
      <c r="M319">
        <v>20.999999999999901</v>
      </c>
      <c r="N319">
        <f t="shared" si="13"/>
        <v>6.4028960786818008</v>
      </c>
    </row>
    <row r="320" spans="13:14" x14ac:dyDescent="0.2">
      <c r="M320">
        <v>21.099999999999898</v>
      </c>
      <c r="N320">
        <f t="shared" si="13"/>
        <v>6.432796897283457</v>
      </c>
    </row>
    <row r="321" spans="13:14" x14ac:dyDescent="0.2">
      <c r="M321">
        <v>21.1999999999999</v>
      </c>
      <c r="N321">
        <f t="shared" si="13"/>
        <v>6.4626978229007328</v>
      </c>
    </row>
    <row r="322" spans="13:14" x14ac:dyDescent="0.2">
      <c r="M322">
        <v>21.299999999999901</v>
      </c>
      <c r="N322">
        <f t="shared" si="13"/>
        <v>6.4925988539974009</v>
      </c>
    </row>
    <row r="323" spans="13:14" x14ac:dyDescent="0.2">
      <c r="M323">
        <v>21.399999999999899</v>
      </c>
      <c r="N323">
        <f t="shared" si="13"/>
        <v>6.522499989066497</v>
      </c>
    </row>
    <row r="324" spans="13:14" x14ac:dyDescent="0.2">
      <c r="M324">
        <v>21.499999999999901</v>
      </c>
      <c r="N324">
        <f t="shared" si="13"/>
        <v>6.5524012266296268</v>
      </c>
    </row>
    <row r="325" spans="13:14" x14ac:dyDescent="0.2">
      <c r="M325">
        <v>21.599999999999898</v>
      </c>
      <c r="N325">
        <f t="shared" si="13"/>
        <v>6.5823025652362945</v>
      </c>
    </row>
    <row r="326" spans="13:14" x14ac:dyDescent="0.2">
      <c r="M326">
        <v>21.6999999999999</v>
      </c>
      <c r="N326">
        <f t="shared" si="13"/>
        <v>6.6122040034632485</v>
      </c>
    </row>
    <row r="327" spans="13:14" x14ac:dyDescent="0.2">
      <c r="M327">
        <v>21.799999999999901</v>
      </c>
      <c r="N327">
        <f t="shared" si="13"/>
        <v>6.6421055399138389</v>
      </c>
    </row>
    <row r="328" spans="13:14" x14ac:dyDescent="0.2">
      <c r="M328">
        <v>21.899999999999899</v>
      </c>
      <c r="N328">
        <f t="shared" si="13"/>
        <v>6.6720071732173993</v>
      </c>
    </row>
    <row r="329" spans="13:14" x14ac:dyDescent="0.2">
      <c r="M329">
        <v>21.999999999999901</v>
      </c>
      <c r="N329">
        <f t="shared" si="13"/>
        <v>6.7019089020286531</v>
      </c>
    </row>
    <row r="330" spans="13:14" x14ac:dyDescent="0.2">
      <c r="M330">
        <v>22.099999999999898</v>
      </c>
      <c r="N330">
        <f t="shared" si="13"/>
        <v>6.7318107250271177</v>
      </c>
    </row>
    <row r="331" spans="13:14" x14ac:dyDescent="0.2">
      <c r="M331">
        <v>22.1999999999999</v>
      </c>
      <c r="N331">
        <f t="shared" si="13"/>
        <v>6.7617126409165511</v>
      </c>
    </row>
    <row r="332" spans="13:14" x14ac:dyDescent="0.2">
      <c r="M332">
        <v>22.299999999999901</v>
      </c>
      <c r="N332">
        <f t="shared" si="13"/>
        <v>6.7916146484243818</v>
      </c>
    </row>
    <row r="333" spans="13:14" x14ac:dyDescent="0.2">
      <c r="M333">
        <v>22.399999999999899</v>
      </c>
      <c r="N333">
        <f t="shared" si="13"/>
        <v>6.8215167463011737</v>
      </c>
    </row>
    <row r="334" spans="13:14" x14ac:dyDescent="0.2">
      <c r="M334">
        <v>22.499999999999901</v>
      </c>
      <c r="N334">
        <f t="shared" si="13"/>
        <v>6.8514189333201152</v>
      </c>
    </row>
    <row r="335" spans="13:14" x14ac:dyDescent="0.2">
      <c r="M335">
        <v>22.599999999999898</v>
      </c>
      <c r="N335">
        <f t="shared" si="13"/>
        <v>6.8813212082764945</v>
      </c>
    </row>
    <row r="336" spans="13:14" x14ac:dyDescent="0.2">
      <c r="M336">
        <v>22.6999999999999</v>
      </c>
      <c r="N336">
        <f t="shared" si="13"/>
        <v>6.9112235699872215</v>
      </c>
    </row>
    <row r="337" spans="13:14" x14ac:dyDescent="0.2">
      <c r="M337">
        <v>22.799999999999901</v>
      </c>
      <c r="N337">
        <f t="shared" si="13"/>
        <v>6.9411260172903209</v>
      </c>
    </row>
    <row r="338" spans="13:14" x14ac:dyDescent="0.2">
      <c r="M338">
        <v>22.899999999999899</v>
      </c>
      <c r="N338">
        <f t="shared" si="13"/>
        <v>6.9710285490444797</v>
      </c>
    </row>
    <row r="339" spans="13:14" x14ac:dyDescent="0.2">
      <c r="M339">
        <v>22.999999999999901</v>
      </c>
      <c r="N339">
        <f t="shared" si="13"/>
        <v>7.0009311641285956</v>
      </c>
    </row>
    <row r="340" spans="13:14" x14ac:dyDescent="0.2">
      <c r="M340">
        <v>23.099999999999898</v>
      </c>
      <c r="N340">
        <f t="shared" si="13"/>
        <v>7.0308338614413115</v>
      </c>
    </row>
    <row r="341" spans="13:14" x14ac:dyDescent="0.2">
      <c r="M341">
        <v>23.1999999999999</v>
      </c>
      <c r="N341">
        <f t="shared" si="13"/>
        <v>7.0607366399006004</v>
      </c>
    </row>
    <row r="342" spans="13:14" x14ac:dyDescent="0.2">
      <c r="M342">
        <v>23.299999999999901</v>
      </c>
      <c r="N342">
        <f t="shared" si="13"/>
        <v>7.0906394984433359</v>
      </c>
    </row>
    <row r="343" spans="13:14" x14ac:dyDescent="0.2">
      <c r="M343">
        <v>23.399999999999899</v>
      </c>
      <c r="N343">
        <f t="shared" si="13"/>
        <v>7.1205424360248735</v>
      </c>
    </row>
    <row r="344" spans="13:14" x14ac:dyDescent="0.2">
      <c r="M344">
        <v>23.499999999999901</v>
      </c>
      <c r="N344">
        <f t="shared" si="13"/>
        <v>7.1504454516186762</v>
      </c>
    </row>
    <row r="345" spans="13:14" x14ac:dyDescent="0.2">
      <c r="M345">
        <v>23.599999999999898</v>
      </c>
      <c r="N345">
        <f t="shared" si="13"/>
        <v>7.1803485442158967</v>
      </c>
    </row>
    <row r="346" spans="13:14" x14ac:dyDescent="0.2">
      <c r="M346">
        <v>23.6999999999999</v>
      </c>
      <c r="N346">
        <f t="shared" si="13"/>
        <v>7.210251712825003</v>
      </c>
    </row>
    <row r="347" spans="13:14" x14ac:dyDescent="0.2">
      <c r="M347">
        <v>23.799999999999901</v>
      </c>
      <c r="N347">
        <f t="shared" si="13"/>
        <v>7.2401549564714243</v>
      </c>
    </row>
    <row r="348" spans="13:14" x14ac:dyDescent="0.2">
      <c r="M348">
        <v>23.899999999999899</v>
      </c>
      <c r="N348">
        <f t="shared" si="13"/>
        <v>7.2700582741971758</v>
      </c>
    </row>
    <row r="349" spans="13:14" x14ac:dyDescent="0.2">
      <c r="M349">
        <v>23.999999999999901</v>
      </c>
      <c r="N349">
        <f t="shared" si="13"/>
        <v>7.2999616650605033</v>
      </c>
    </row>
    <row r="350" spans="13:14" x14ac:dyDescent="0.2">
      <c r="M350">
        <v>24.099999999999898</v>
      </c>
      <c r="N350">
        <f t="shared" si="13"/>
        <v>7.3298651281355651</v>
      </c>
    </row>
    <row r="351" spans="13:14" x14ac:dyDescent="0.2">
      <c r="M351">
        <v>24.1999999999999</v>
      </c>
      <c r="N351">
        <f t="shared" si="13"/>
        <v>7.359768662512062</v>
      </c>
    </row>
    <row r="352" spans="13:14" x14ac:dyDescent="0.2">
      <c r="M352">
        <v>24.299999999999901</v>
      </c>
      <c r="N352">
        <f t="shared" si="13"/>
        <v>7.3896722672949462</v>
      </c>
    </row>
    <row r="353" spans="13:14" x14ac:dyDescent="0.2">
      <c r="M353">
        <v>24.399999999999899</v>
      </c>
      <c r="N353">
        <f t="shared" si="13"/>
        <v>7.419575941604073</v>
      </c>
    </row>
    <row r="354" spans="13:14" x14ac:dyDescent="0.2">
      <c r="M354">
        <v>24.499999999999901</v>
      </c>
      <c r="N354">
        <f t="shared" si="13"/>
        <v>7.4494796845739275</v>
      </c>
    </row>
    <row r="355" spans="13:14" x14ac:dyDescent="0.2">
      <c r="M355">
        <v>24.599999999999898</v>
      </c>
      <c r="N355">
        <f t="shared" si="13"/>
        <v>7.4793834953532814</v>
      </c>
    </row>
    <row r="356" spans="13:14" x14ac:dyDescent="0.2">
      <c r="M356">
        <v>24.6999999999999</v>
      </c>
      <c r="N356">
        <f t="shared" si="13"/>
        <v>7.5092873731049359</v>
      </c>
    </row>
    <row r="357" spans="13:14" x14ac:dyDescent="0.2">
      <c r="M357">
        <v>24.799999999999901</v>
      </c>
      <c r="N357">
        <f t="shared" si="13"/>
        <v>7.5391913170054039</v>
      </c>
    </row>
    <row r="358" spans="13:14" x14ac:dyDescent="0.2">
      <c r="M358">
        <v>24.899999999999899</v>
      </c>
      <c r="N358">
        <f t="shared" si="13"/>
        <v>7.569095326244649</v>
      </c>
    </row>
    <row r="359" spans="13:14" x14ac:dyDescent="0.2">
      <c r="M359">
        <v>24.999999999999901</v>
      </c>
      <c r="N359">
        <f t="shared" si="13"/>
        <v>7.5989994000258125</v>
      </c>
    </row>
    <row r="360" spans="13:14" x14ac:dyDescent="0.2">
      <c r="M360">
        <v>25.099999999999898</v>
      </c>
      <c r="N360">
        <f t="shared" si="13"/>
        <v>7.6289035375649323</v>
      </c>
    </row>
    <row r="361" spans="13:14" x14ac:dyDescent="0.2">
      <c r="M361">
        <v>25.1999999999999</v>
      </c>
      <c r="N361">
        <f t="shared" si="13"/>
        <v>7.6588077380907</v>
      </c>
    </row>
    <row r="362" spans="13:14" x14ac:dyDescent="0.2">
      <c r="M362">
        <v>25.299999999999901</v>
      </c>
      <c r="N362">
        <f t="shared" si="13"/>
        <v>7.688712000844192</v>
      </c>
    </row>
    <row r="363" spans="13:14" x14ac:dyDescent="0.2">
      <c r="M363">
        <v>25.399999999999899</v>
      </c>
      <c r="N363">
        <f t="shared" si="13"/>
        <v>7.7186163250786315</v>
      </c>
    </row>
    <row r="364" spans="13:14" x14ac:dyDescent="0.2">
      <c r="M364">
        <v>25.499999999999901</v>
      </c>
      <c r="N364">
        <f t="shared" si="13"/>
        <v>7.7485207100591431</v>
      </c>
    </row>
    <row r="365" spans="13:14" x14ac:dyDescent="0.2">
      <c r="M365">
        <v>25.599999999999898</v>
      </c>
      <c r="N365">
        <f t="shared" si="13"/>
        <v>7.7784251550625134</v>
      </c>
    </row>
    <row r="366" spans="13:14" x14ac:dyDescent="0.2">
      <c r="M366">
        <v>25.6999999999999</v>
      </c>
      <c r="N366">
        <f t="shared" ref="N366:N429" si="14">extremePos(1, M366)</f>
        <v>7.8083296593769704</v>
      </c>
    </row>
    <row r="367" spans="13:14" x14ac:dyDescent="0.2">
      <c r="M367">
        <v>25.799999999999901</v>
      </c>
      <c r="N367">
        <f t="shared" si="14"/>
        <v>7.8382342223019448</v>
      </c>
    </row>
    <row r="368" spans="13:14" x14ac:dyDescent="0.2">
      <c r="M368">
        <v>25.899999999999899</v>
      </c>
      <c r="N368">
        <f t="shared" si="14"/>
        <v>7.8681388431478689</v>
      </c>
    </row>
    <row r="369" spans="13:14" x14ac:dyDescent="0.2">
      <c r="M369">
        <v>25.999999999999901</v>
      </c>
      <c r="N369">
        <f t="shared" si="14"/>
        <v>7.8980435212359295</v>
      </c>
    </row>
    <row r="370" spans="13:14" x14ac:dyDescent="0.2">
      <c r="M370">
        <v>26.099999999999898</v>
      </c>
      <c r="N370">
        <f t="shared" si="14"/>
        <v>7.9279482558979</v>
      </c>
    </row>
    <row r="371" spans="13:14" x14ac:dyDescent="0.2">
      <c r="M371">
        <v>26.1999999999999</v>
      </c>
      <c r="N371">
        <f t="shared" si="14"/>
        <v>7.9578530464759059</v>
      </c>
    </row>
    <row r="372" spans="13:14" x14ac:dyDescent="0.2">
      <c r="M372">
        <v>26.299999999999901</v>
      </c>
      <c r="N372">
        <f t="shared" si="14"/>
        <v>7.9877578923222288</v>
      </c>
    </row>
    <row r="373" spans="13:14" x14ac:dyDescent="0.2">
      <c r="M373">
        <v>26.399999999999899</v>
      </c>
      <c r="N373">
        <f t="shared" si="14"/>
        <v>8.0176627927991255</v>
      </c>
    </row>
    <row r="374" spans="13:14" x14ac:dyDescent="0.2">
      <c r="M374">
        <v>26.499999999999901</v>
      </c>
      <c r="N374">
        <f t="shared" si="14"/>
        <v>8.0475677472786256</v>
      </c>
    </row>
    <row r="375" spans="13:14" x14ac:dyDescent="0.2">
      <c r="M375">
        <v>26.599999999999898</v>
      </c>
      <c r="N375">
        <f t="shared" si="14"/>
        <v>8.0774727551423364</v>
      </c>
    </row>
    <row r="376" spans="13:14" x14ac:dyDescent="0.2">
      <c r="M376">
        <v>26.6999999999999</v>
      </c>
      <c r="N376">
        <f t="shared" si="14"/>
        <v>8.1073778157812839</v>
      </c>
    </row>
    <row r="377" spans="13:14" x14ac:dyDescent="0.2">
      <c r="M377">
        <v>26.799999999999901</v>
      </c>
      <c r="N377">
        <f t="shared" si="14"/>
        <v>8.1372829285957149</v>
      </c>
    </row>
    <row r="378" spans="13:14" x14ac:dyDescent="0.2">
      <c r="M378">
        <v>26.899999999999899</v>
      </c>
      <c r="N378">
        <f t="shared" si="14"/>
        <v>8.1671880929949285</v>
      </c>
    </row>
    <row r="379" spans="13:14" x14ac:dyDescent="0.2">
      <c r="M379">
        <v>26.999999999999901</v>
      </c>
      <c r="N379">
        <f t="shared" si="14"/>
        <v>8.1970933083971094</v>
      </c>
    </row>
    <row r="380" spans="13:14" x14ac:dyDescent="0.2">
      <c r="M380">
        <v>27.099999999999898</v>
      </c>
      <c r="N380">
        <f t="shared" si="14"/>
        <v>8.2269985742291603</v>
      </c>
    </row>
    <row r="381" spans="13:14" x14ac:dyDescent="0.2">
      <c r="M381">
        <v>27.1999999999999</v>
      </c>
      <c r="N381">
        <f t="shared" si="14"/>
        <v>8.2569038899265408</v>
      </c>
    </row>
    <row r="382" spans="13:14" x14ac:dyDescent="0.2">
      <c r="M382">
        <v>27.299999999999901</v>
      </c>
      <c r="N382">
        <f t="shared" si="14"/>
        <v>8.2868092549330949</v>
      </c>
    </row>
    <row r="383" spans="13:14" x14ac:dyDescent="0.2">
      <c r="M383">
        <v>27.399999999999899</v>
      </c>
      <c r="N383">
        <f t="shared" si="14"/>
        <v>8.3167146687009144</v>
      </c>
    </row>
    <row r="384" spans="13:14" x14ac:dyDescent="0.2">
      <c r="M384">
        <v>27.499999999999901</v>
      </c>
      <c r="N384">
        <f t="shared" si="14"/>
        <v>8.3466201306901802</v>
      </c>
    </row>
    <row r="385" spans="13:14" x14ac:dyDescent="0.2">
      <c r="M385">
        <v>27.599999999999898</v>
      </c>
      <c r="N385">
        <f t="shared" si="14"/>
        <v>8.3765256403690085</v>
      </c>
    </row>
    <row r="386" spans="13:14" x14ac:dyDescent="0.2">
      <c r="M386">
        <v>27.6999999999999</v>
      </c>
      <c r="N386">
        <f t="shared" si="14"/>
        <v>8.4064311972133119</v>
      </c>
    </row>
    <row r="387" spans="13:14" x14ac:dyDescent="0.2">
      <c r="M387">
        <v>27.799999999999901</v>
      </c>
      <c r="N387">
        <f t="shared" si="14"/>
        <v>8.4363368007066466</v>
      </c>
    </row>
    <row r="388" spans="13:14" x14ac:dyDescent="0.2">
      <c r="M388">
        <v>27.899999999999899</v>
      </c>
      <c r="N388">
        <f t="shared" si="14"/>
        <v>8.4662424503400953</v>
      </c>
    </row>
    <row r="389" spans="13:14" x14ac:dyDescent="0.2">
      <c r="M389">
        <v>27.999999999999901</v>
      </c>
      <c r="N389">
        <f t="shared" si="14"/>
        <v>8.4961481456121017</v>
      </c>
    </row>
    <row r="390" spans="13:14" x14ac:dyDescent="0.2">
      <c r="M390">
        <v>28.099999999999898</v>
      </c>
      <c r="N390">
        <f t="shared" si="14"/>
        <v>8.5260538860283628</v>
      </c>
    </row>
    <row r="391" spans="13:14" x14ac:dyDescent="0.2">
      <c r="M391">
        <v>28.1999999999999</v>
      </c>
      <c r="N391">
        <f t="shared" si="14"/>
        <v>8.5559596711016841</v>
      </c>
    </row>
    <row r="392" spans="13:14" x14ac:dyDescent="0.2">
      <c r="M392">
        <v>28.299999999999901</v>
      </c>
      <c r="N392">
        <f t="shared" si="14"/>
        <v>8.5858655003518596</v>
      </c>
    </row>
    <row r="393" spans="13:14" x14ac:dyDescent="0.2">
      <c r="M393">
        <v>28.399999999999899</v>
      </c>
      <c r="N393">
        <f t="shared" si="14"/>
        <v>8.6157713733055381</v>
      </c>
    </row>
    <row r="394" spans="13:14" x14ac:dyDescent="0.2">
      <c r="M394">
        <v>28.499999999999901</v>
      </c>
      <c r="N394">
        <f t="shared" si="14"/>
        <v>8.6456772894961116</v>
      </c>
    </row>
    <row r="395" spans="13:14" x14ac:dyDescent="0.2">
      <c r="M395">
        <v>28.599999999999898</v>
      </c>
      <c r="N395">
        <f t="shared" si="14"/>
        <v>8.6755832484635853</v>
      </c>
    </row>
    <row r="396" spans="13:14" x14ac:dyDescent="0.2">
      <c r="M396">
        <v>28.6999999999999</v>
      </c>
      <c r="N396">
        <f t="shared" si="14"/>
        <v>8.7054892497544785</v>
      </c>
    </row>
    <row r="397" spans="13:14" x14ac:dyDescent="0.2">
      <c r="M397">
        <v>28.799999999999901</v>
      </c>
      <c r="N397">
        <f t="shared" si="14"/>
        <v>8.735395292921682</v>
      </c>
    </row>
    <row r="398" spans="13:14" x14ac:dyDescent="0.2">
      <c r="M398">
        <v>28.899999999999899</v>
      </c>
      <c r="N398">
        <f t="shared" si="14"/>
        <v>8.7653013775243789</v>
      </c>
    </row>
    <row r="399" spans="13:14" x14ac:dyDescent="0.2">
      <c r="M399">
        <v>28.999999999999901</v>
      </c>
      <c r="N399">
        <f t="shared" si="14"/>
        <v>8.7952075031279016</v>
      </c>
    </row>
    <row r="400" spans="13:14" x14ac:dyDescent="0.2">
      <c r="M400">
        <v>29.099999999999898</v>
      </c>
      <c r="N400">
        <f t="shared" si="14"/>
        <v>8.825113669303656</v>
      </c>
    </row>
    <row r="401" spans="13:14" x14ac:dyDescent="0.2">
      <c r="M401">
        <v>29.1999999999999</v>
      </c>
      <c r="N401">
        <f t="shared" si="14"/>
        <v>8.8550198756289848</v>
      </c>
    </row>
    <row r="402" spans="13:14" x14ac:dyDescent="0.2">
      <c r="M402">
        <v>29.299999999999901</v>
      </c>
      <c r="N402">
        <f t="shared" si="14"/>
        <v>8.8849261216870961</v>
      </c>
    </row>
    <row r="403" spans="13:14" x14ac:dyDescent="0.2">
      <c r="M403">
        <v>29.399999999999899</v>
      </c>
      <c r="N403">
        <f t="shared" si="14"/>
        <v>8.9148324070669407</v>
      </c>
    </row>
    <row r="404" spans="13:14" x14ac:dyDescent="0.2">
      <c r="M404">
        <v>29.499999999999901</v>
      </c>
      <c r="N404">
        <f t="shared" si="14"/>
        <v>8.9447387313631186</v>
      </c>
    </row>
    <row r="405" spans="13:14" x14ac:dyDescent="0.2">
      <c r="M405">
        <v>29.599999999999898</v>
      </c>
      <c r="N405">
        <f t="shared" si="14"/>
        <v>8.9746450941757789</v>
      </c>
    </row>
    <row r="406" spans="13:14" x14ac:dyDescent="0.2">
      <c r="M406">
        <v>29.6999999999999</v>
      </c>
      <c r="N406">
        <f t="shared" si="14"/>
        <v>9.0045514951105492</v>
      </c>
    </row>
    <row r="407" spans="13:14" x14ac:dyDescent="0.2">
      <c r="M407">
        <v>29.799999999999901</v>
      </c>
      <c r="N407">
        <f t="shared" si="14"/>
        <v>9.0344579337783966</v>
      </c>
    </row>
    <row r="408" spans="13:14" x14ac:dyDescent="0.2">
      <c r="M408">
        <v>29.899999999999899</v>
      </c>
      <c r="N408">
        <f t="shared" si="14"/>
        <v>9.0643644097955782</v>
      </c>
    </row>
    <row r="409" spans="13:14" x14ac:dyDescent="0.2">
      <c r="M409">
        <v>29.999999999999901</v>
      </c>
      <c r="N409">
        <f t="shared" si="14"/>
        <v>9.0942709227835437</v>
      </c>
    </row>
    <row r="410" spans="13:14" x14ac:dyDescent="0.2">
      <c r="M410">
        <v>30.099999999999898</v>
      </c>
      <c r="N410">
        <f t="shared" si="14"/>
        <v>9.1241774723688263</v>
      </c>
    </row>
    <row r="411" spans="13:14" x14ac:dyDescent="0.2">
      <c r="M411">
        <v>30.1999999999999</v>
      </c>
      <c r="N411">
        <f t="shared" si="14"/>
        <v>9.154084058182983</v>
      </c>
    </row>
    <row r="412" spans="13:14" x14ac:dyDescent="0.2">
      <c r="M412">
        <v>30.299999999999901</v>
      </c>
      <c r="N412">
        <f t="shared" si="14"/>
        <v>9.1839906798624913</v>
      </c>
    </row>
    <row r="413" spans="13:14" x14ac:dyDescent="0.2">
      <c r="M413">
        <v>30.399999999999899</v>
      </c>
      <c r="N413">
        <f t="shared" si="14"/>
        <v>9.2138973370486799</v>
      </c>
    </row>
    <row r="414" spans="13:14" x14ac:dyDescent="0.2">
      <c r="M414">
        <v>30.499999999999901</v>
      </c>
      <c r="N414">
        <f t="shared" si="14"/>
        <v>9.2438040293876487</v>
      </c>
    </row>
    <row r="415" spans="13:14" x14ac:dyDescent="0.2">
      <c r="M415">
        <v>30.599999999999898</v>
      </c>
      <c r="N415">
        <f t="shared" si="14"/>
        <v>9.2737107565301837</v>
      </c>
    </row>
    <row r="416" spans="13:14" x14ac:dyDescent="0.2">
      <c r="M416">
        <v>30.6999999999999</v>
      </c>
      <c r="N416">
        <f t="shared" si="14"/>
        <v>9.3036175181316718</v>
      </c>
    </row>
    <row r="417" spans="13:14" x14ac:dyDescent="0.2">
      <c r="M417">
        <v>30.799999999999901</v>
      </c>
      <c r="N417">
        <f t="shared" si="14"/>
        <v>9.3335243138520489</v>
      </c>
    </row>
    <row r="418" spans="13:14" x14ac:dyDescent="0.2">
      <c r="M418">
        <v>30.899999999999899</v>
      </c>
      <c r="N418">
        <f t="shared" si="14"/>
        <v>9.3634311433557009</v>
      </c>
    </row>
    <row r="419" spans="13:14" x14ac:dyDescent="0.2">
      <c r="M419">
        <v>30.999999999999901</v>
      </c>
      <c r="N419">
        <f t="shared" si="14"/>
        <v>9.3933380063114047</v>
      </c>
    </row>
    <row r="420" spans="13:14" x14ac:dyDescent="0.2">
      <c r="M420">
        <v>31.099999999999898</v>
      </c>
      <c r="N420">
        <f t="shared" si="14"/>
        <v>9.4232449023922502</v>
      </c>
    </row>
    <row r="421" spans="13:14" x14ac:dyDescent="0.2">
      <c r="M421">
        <v>31.1999999999999</v>
      </c>
      <c r="N421">
        <f t="shared" si="14"/>
        <v>9.4531518312755765</v>
      </c>
    </row>
    <row r="422" spans="13:14" x14ac:dyDescent="0.2">
      <c r="M422">
        <v>31.299999999999901</v>
      </c>
      <c r="N422">
        <f t="shared" si="14"/>
        <v>9.4830587926428986</v>
      </c>
    </row>
    <row r="423" spans="13:14" x14ac:dyDescent="0.2">
      <c r="M423">
        <v>31.3999999999998</v>
      </c>
      <c r="N423">
        <f t="shared" si="14"/>
        <v>9.5129657861798087</v>
      </c>
    </row>
    <row r="424" spans="13:14" x14ac:dyDescent="0.2">
      <c r="M424">
        <v>31.499999999999901</v>
      </c>
      <c r="N424">
        <f t="shared" si="14"/>
        <v>9.5428728115760713</v>
      </c>
    </row>
    <row r="425" spans="13:14" x14ac:dyDescent="0.2">
      <c r="M425">
        <v>31.599999999999898</v>
      </c>
      <c r="N425">
        <f t="shared" si="14"/>
        <v>9.5727798685252381</v>
      </c>
    </row>
    <row r="426" spans="13:14" x14ac:dyDescent="0.2">
      <c r="M426">
        <v>31.6999999999999</v>
      </c>
      <c r="N426">
        <f t="shared" si="14"/>
        <v>9.6026869567248969</v>
      </c>
    </row>
    <row r="427" spans="13:14" x14ac:dyDescent="0.2">
      <c r="M427">
        <v>31.799999999999901</v>
      </c>
      <c r="N427">
        <f t="shared" si="14"/>
        <v>9.6325940758764741</v>
      </c>
    </row>
    <row r="428" spans="13:14" x14ac:dyDescent="0.2">
      <c r="M428">
        <v>31.8999999999998</v>
      </c>
      <c r="N428">
        <f t="shared" si="14"/>
        <v>9.662501225685137</v>
      </c>
    </row>
    <row r="429" spans="13:14" x14ac:dyDescent="0.2">
      <c r="M429">
        <v>31.999999999999901</v>
      </c>
      <c r="N429">
        <f t="shared" si="14"/>
        <v>9.6924084058599185</v>
      </c>
    </row>
    <row r="430" spans="13:14" x14ac:dyDescent="0.2">
      <c r="M430">
        <v>32.099999999999902</v>
      </c>
      <c r="N430">
        <f t="shared" ref="N430:N435" si="15">extremePos(1, M430)</f>
        <v>9.7223156161133382</v>
      </c>
    </row>
    <row r="431" spans="13:14" x14ac:dyDescent="0.2">
      <c r="M431">
        <v>32.199999999999797</v>
      </c>
      <c r="N431">
        <f t="shared" si="15"/>
        <v>9.7522228561616231</v>
      </c>
    </row>
    <row r="432" spans="13:14" x14ac:dyDescent="0.2">
      <c r="M432">
        <v>32.299999999999798</v>
      </c>
      <c r="N432">
        <f t="shared" si="15"/>
        <v>9.7821301257246187</v>
      </c>
    </row>
    <row r="433" spans="13:19" x14ac:dyDescent="0.2">
      <c r="M433">
        <v>32.3999999999998</v>
      </c>
      <c r="N433">
        <f t="shared" si="15"/>
        <v>9.8120374245255881</v>
      </c>
    </row>
    <row r="434" spans="13:19" x14ac:dyDescent="0.2">
      <c r="M434">
        <v>32.499999999999901</v>
      </c>
      <c r="N434">
        <f t="shared" si="15"/>
        <v>9.8419447522912868</v>
      </c>
    </row>
    <row r="435" spans="13:19" x14ac:dyDescent="0.2">
      <c r="M435">
        <v>32.599999999999902</v>
      </c>
      <c r="N435">
        <f t="shared" si="15"/>
        <v>9.8718521087517921</v>
      </c>
    </row>
    <row r="436" spans="13:19" x14ac:dyDescent="0.2">
      <c r="S436">
        <v>32.699999999999797</v>
      </c>
    </row>
    <row r="437" spans="13:19" x14ac:dyDescent="0.2">
      <c r="S437">
        <v>32.799999999999798</v>
      </c>
    </row>
    <row r="438" spans="13:19" x14ac:dyDescent="0.2">
      <c r="S438">
        <v>32.8999999999998</v>
      </c>
    </row>
    <row r="439" spans="13:19" x14ac:dyDescent="0.2">
      <c r="S439">
        <v>32.999999999999801</v>
      </c>
    </row>
    <row r="440" spans="13:19" x14ac:dyDescent="0.2">
      <c r="S440">
        <v>33.099999999999802</v>
      </c>
    </row>
    <row r="441" spans="13:19" x14ac:dyDescent="0.2">
      <c r="S441">
        <v>33.199999999999797</v>
      </c>
    </row>
    <row r="442" spans="13:19" x14ac:dyDescent="0.2">
      <c r="S442">
        <v>33.299999999999798</v>
      </c>
    </row>
    <row r="443" spans="13:19" x14ac:dyDescent="0.2">
      <c r="S443">
        <v>33.3999999999998</v>
      </c>
    </row>
    <row r="444" spans="13:19" x14ac:dyDescent="0.2">
      <c r="S444">
        <v>33.499999999999801</v>
      </c>
    </row>
    <row r="445" spans="13:19" x14ac:dyDescent="0.2">
      <c r="S445">
        <v>33.599999999999802</v>
      </c>
    </row>
    <row r="446" spans="13:19" x14ac:dyDescent="0.2">
      <c r="S446">
        <v>33.699999999999797</v>
      </c>
    </row>
    <row r="447" spans="13:19" x14ac:dyDescent="0.2">
      <c r="S447">
        <v>33.799999999999798</v>
      </c>
    </row>
    <row r="448" spans="13:19" x14ac:dyDescent="0.2">
      <c r="S448">
        <v>33.8999999999998</v>
      </c>
    </row>
    <row r="449" spans="19:19" x14ac:dyDescent="0.2">
      <c r="S449">
        <v>33.999999999999801</v>
      </c>
    </row>
    <row r="450" spans="19:19" x14ac:dyDescent="0.2">
      <c r="S450">
        <v>34.099999999999802</v>
      </c>
    </row>
    <row r="451" spans="19:19" x14ac:dyDescent="0.2">
      <c r="S451">
        <v>34.199999999999797</v>
      </c>
    </row>
    <row r="452" spans="19:19" x14ac:dyDescent="0.2">
      <c r="S452">
        <v>34.299999999999798</v>
      </c>
    </row>
    <row r="453" spans="19:19" x14ac:dyDescent="0.2">
      <c r="S453">
        <v>34.3999999999998</v>
      </c>
    </row>
    <row r="454" spans="19:19" x14ac:dyDescent="0.2">
      <c r="S454">
        <v>34.499999999999801</v>
      </c>
    </row>
    <row r="455" spans="19:19" x14ac:dyDescent="0.2">
      <c r="S455">
        <v>34.599999999999802</v>
      </c>
    </row>
    <row r="456" spans="19:19" x14ac:dyDescent="0.2">
      <c r="S456">
        <v>34.699999999999797</v>
      </c>
    </row>
    <row r="457" spans="19:19" x14ac:dyDescent="0.2">
      <c r="S457">
        <v>34.799999999999798</v>
      </c>
    </row>
    <row r="458" spans="19:19" x14ac:dyDescent="0.2">
      <c r="S458">
        <v>34.8999999999998</v>
      </c>
    </row>
    <row r="459" spans="19:19" x14ac:dyDescent="0.2">
      <c r="S459">
        <v>34.999999999999801</v>
      </c>
    </row>
    <row r="460" spans="19:19" x14ac:dyDescent="0.2">
      <c r="S460">
        <v>35.099999999999802</v>
      </c>
    </row>
    <row r="461" spans="19:19" x14ac:dyDescent="0.2">
      <c r="S461">
        <v>35.199999999999797</v>
      </c>
    </row>
    <row r="462" spans="19:19" x14ac:dyDescent="0.2">
      <c r="S462">
        <v>35.299999999999798</v>
      </c>
    </row>
    <row r="463" spans="19:19" x14ac:dyDescent="0.2">
      <c r="S463">
        <v>35.3999999999998</v>
      </c>
    </row>
    <row r="464" spans="19:19" x14ac:dyDescent="0.2">
      <c r="S464">
        <v>35.499999999999801</v>
      </c>
    </row>
    <row r="465" spans="19:19" x14ac:dyDescent="0.2">
      <c r="S465">
        <v>35.599999999999802</v>
      </c>
    </row>
    <row r="466" spans="19:19" x14ac:dyDescent="0.2">
      <c r="S466">
        <v>35.699999999999797</v>
      </c>
    </row>
    <row r="467" spans="19:19" x14ac:dyDescent="0.2">
      <c r="S467">
        <v>35.799999999999798</v>
      </c>
    </row>
    <row r="468" spans="19:19" x14ac:dyDescent="0.2">
      <c r="S468">
        <v>35.8999999999998</v>
      </c>
    </row>
    <row r="469" spans="19:19" x14ac:dyDescent="0.2">
      <c r="S469">
        <v>35.999999999999801</v>
      </c>
    </row>
    <row r="470" spans="19:19" x14ac:dyDescent="0.2">
      <c r="S470">
        <v>36.099999999999802</v>
      </c>
    </row>
    <row r="471" spans="19:19" x14ac:dyDescent="0.2">
      <c r="S471">
        <v>36.199999999999797</v>
      </c>
    </row>
    <row r="472" spans="19:19" x14ac:dyDescent="0.2">
      <c r="S472">
        <v>36.299999999999798</v>
      </c>
    </row>
    <row r="473" spans="19:19" x14ac:dyDescent="0.2">
      <c r="S473">
        <v>36.3999999999998</v>
      </c>
    </row>
    <row r="474" spans="19:19" x14ac:dyDescent="0.2">
      <c r="S474">
        <v>36.499999999999801</v>
      </c>
    </row>
    <row r="475" spans="19:19" x14ac:dyDescent="0.2">
      <c r="S475">
        <v>36.599999999999802</v>
      </c>
    </row>
    <row r="476" spans="19:19" x14ac:dyDescent="0.2">
      <c r="S476">
        <v>36.699999999999797</v>
      </c>
    </row>
    <row r="477" spans="19:19" x14ac:dyDescent="0.2">
      <c r="S477">
        <v>36.799999999999798</v>
      </c>
    </row>
    <row r="478" spans="19:19" x14ac:dyDescent="0.2">
      <c r="S478">
        <v>36.8999999999998</v>
      </c>
    </row>
    <row r="479" spans="19:19" x14ac:dyDescent="0.2">
      <c r="S479">
        <v>36.999999999999801</v>
      </c>
    </row>
    <row r="480" spans="19:19" x14ac:dyDescent="0.2">
      <c r="S480">
        <v>37.099999999999802</v>
      </c>
    </row>
    <row r="481" spans="19:19" x14ac:dyDescent="0.2">
      <c r="S481">
        <v>37.199999999999797</v>
      </c>
    </row>
    <row r="482" spans="19:19" x14ac:dyDescent="0.2">
      <c r="S482">
        <v>37.299999999999798</v>
      </c>
    </row>
    <row r="483" spans="19:19" x14ac:dyDescent="0.2">
      <c r="S483">
        <v>37.3999999999998</v>
      </c>
    </row>
    <row r="484" spans="19:19" x14ac:dyDescent="0.2">
      <c r="S484">
        <v>37.499999999999801</v>
      </c>
    </row>
    <row r="485" spans="19:19" x14ac:dyDescent="0.2">
      <c r="S485">
        <v>37.599999999999802</v>
      </c>
    </row>
    <row r="486" spans="19:19" x14ac:dyDescent="0.2">
      <c r="S486">
        <v>37.699999999999797</v>
      </c>
    </row>
    <row r="487" spans="19:19" x14ac:dyDescent="0.2">
      <c r="S487">
        <v>37.799999999999798</v>
      </c>
    </row>
    <row r="488" spans="19:19" x14ac:dyDescent="0.2">
      <c r="S488">
        <v>37.8999999999998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Sheet1</vt:lpstr>
      <vt:lpstr>Chart1</vt:lpstr>
      <vt:lpstr>a</vt:lpstr>
      <vt:lpstr>b</vt:lpstr>
      <vt:lpstr>cc</vt:lpstr>
      <vt:lpstr>d</vt:lpstr>
      <vt:lpstr>p_0</vt:lpstr>
      <vt:lpstr>p_1</vt:lpstr>
      <vt:lpstr>p_2</vt:lpstr>
      <vt:lpstr>p_3</vt:lpstr>
      <vt:lpstr>p0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Zenka, Roman M., M.S.</dc:creator>
  <cp:lastModifiedBy>Zenka, Roman M., M.S.</cp:lastModifiedBy>
  <dcterms:created xsi:type="dcterms:W3CDTF">2020-06-03T02:55:55Z</dcterms:created>
  <dcterms:modified xsi:type="dcterms:W3CDTF">2020-06-03T14:39:30Z</dcterms:modified>
</cp:coreProperties>
</file>